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Users\cvara\Documents\planillas\2026\"/>
    </mc:Choice>
  </mc:AlternateContent>
  <xr:revisionPtr revIDLastSave="0" documentId="13_ncr:1_{3841CF1D-B1A6-494D-9B2D-568569CB81EB}" xr6:coauthVersionLast="47" xr6:coauthVersionMax="47" xr10:uidLastSave="{00000000-0000-0000-0000-000000000000}"/>
  <workbookProtection workbookAlgorithmName="SHA-512" workbookHashValue="xeSejWD5cmGRT31Op+UKHBgsUf8y3Tj7QxPfBmXs4AW7thpmi1rM5LfATOJxFWMQNlMy0G7VprUtVGABicBoAQ==" workbookSaltValue="Tp+0aexHRmrD0wKvINWy+g==" workbookSpinCount="100000" lockStructure="1"/>
  <bookViews>
    <workbookView xWindow="35805" yWindow="4950" windowWidth="17280" windowHeight="8880" tabRatio="862" activeTab="4" xr2:uid="{00000000-000D-0000-FFFF-FFFF00000000}"/>
  </bookViews>
  <sheets>
    <sheet name="Leeme" sheetId="19" r:id="rId1"/>
    <sheet name="Diccionario" sheetId="13" r:id="rId2"/>
    <sheet name="Campaña" sheetId="30" r:id="rId3"/>
    <sheet name="EstacionReplica" sheetId="3" r:id="rId4"/>
    <sheet name="Ocurrencia" sheetId="36" r:id="rId5"/>
    <sheet name="ValidacionDatos" sheetId="34" r:id="rId6"/>
    <sheet name="ID" sheetId="37" state="hidden" r:id="rId7"/>
  </sheets>
  <definedNames>
    <definedName name="_xlnm._FilterDatabase" localSheetId="2" hidden="1">Campaña!$A$2:$K$2</definedName>
    <definedName name="_xlnm._FilterDatabase" localSheetId="1" hidden="1">Diccionario!$A$4:$E$84</definedName>
    <definedName name="_xlnm._FilterDatabase" localSheetId="3" hidden="1">EstacionReplica!$A$1:$W$1003</definedName>
    <definedName name="_xlnm._FilterDatabase" localSheetId="0" hidden="1">Leeme!$A$9:$C$13</definedName>
    <definedName name="_xlnm._FilterDatabase" localSheetId="4" hidden="1">Ocurrencia!$A$2:$AU$2</definedName>
    <definedName name="_xlnm._FilterDatabase" localSheetId="5" hidden="1">ValidacionDatos!$A$4:$W$350</definedName>
    <definedName name="Ajuste_espacial_de_footprint">#REF!</definedName>
    <definedName name="Ajuste_espacial_del_radio_punto">#REF!</definedName>
    <definedName name="Año">#REF!</definedName>
    <definedName name="Autoría_del_nombre_científico">#REF!</definedName>
    <definedName name="Base_del_registro">#REF!</definedName>
    <definedName name="Calificador_de_la_identificación">#REF!</definedName>
    <definedName name="Capa">#REF!</definedName>
    <definedName name="Categoría_del_taxón">#REF!</definedName>
    <definedName name="Categoría_original_del_taxón">#REF!</definedName>
    <definedName name="Centro_poblado___Cabecera_municipal">#REF!</definedName>
    <definedName name="Citación_bibliográfica">#REF!</definedName>
    <definedName name="Clase">#REF!</definedName>
    <definedName name="Clasificación_superior">#REF!</definedName>
    <definedName name="Código_de_la_colección">#REF!</definedName>
    <definedName name="Código_de_la_institución">#REF!</definedName>
    <definedName name="Código_de_la_institución_propietaria">#REF!</definedName>
    <definedName name="Código_del_país">#REF!</definedName>
    <definedName name="Código_nomenclatural">#REF!</definedName>
    <definedName name="Comentarios_de_la_georreferenciación">#REF!</definedName>
    <definedName name="Comentarios_de_la_Identificación">#REF!</definedName>
    <definedName name="Comentarios_de_la_ubicación">#REF!</definedName>
    <definedName name="Comentarios_del_evento">#REF!</definedName>
    <definedName name="Comentarios_del_registro_biológico">#REF!</definedName>
    <definedName name="Comentarios_del_taxón">#REF!</definedName>
    <definedName name="Comportamiento">#REF!</definedName>
    <definedName name="Condición_reproductiva">#REF!</definedName>
    <definedName name="Continente">#REF!</definedName>
    <definedName name="Coordenadas_originales">#REF!</definedName>
    <definedName name="Cuerpo_de_agua">#REF!</definedName>
    <definedName name="Datum_geodésico">#REF!</definedName>
    <definedName name="Departamento">#REF!</definedName>
    <definedName name="Derechos">#REF!</definedName>
    <definedName name="Derechos_de_acceso">#REF!</definedName>
    <definedName name="Día">#REF!</definedName>
    <definedName name="Día_final_del_año">#REF!</definedName>
    <definedName name="Día_inicial_del_año">#REF!</definedName>
    <definedName name="Disposición">#REF!</definedName>
    <definedName name="Distancia_máxima_de_la_superficie_metros">#REF!</definedName>
    <definedName name="Distancia_mínima_de_la_superficie_metros">#REF!</definedName>
    <definedName name="Edad_tardía_o_piso_superior">#REF!</definedName>
    <definedName name="Edad_temprana_o_piso_inferior">#REF!</definedName>
    <definedName name="Elevación_máxima_en_metros">#REF!</definedName>
    <definedName name="Elevación_mínima_en_metros">#REF!</definedName>
    <definedName name="Elevación_original">#REF!</definedName>
    <definedName name="Eón_tardío_o_eonotema_superior">#REF!</definedName>
    <definedName name="Eón_temprano_o_eonotema_inferior">#REF!</definedName>
    <definedName name="Epíteto_específico">#REF!</definedName>
    <definedName name="Epíteto_infraespecífico">#REF!</definedName>
    <definedName name="Época_tardía_o_serie_superior">#REF!</definedName>
    <definedName name="Época_temprana_o_serie_inferior">#REF!</definedName>
    <definedName name="Era_tardía_o_eratema_superior">#REF!</definedName>
    <definedName name="Era_temprana_o_eratema_inferior">#REF!</definedName>
    <definedName name="Esfuerzo_de_muestreo">#REF!</definedName>
    <definedName name="Estado_de_la_verificación_de_la_georreferenciación">#REF!</definedName>
    <definedName name="Estado_de_la_verificación_de_la_identificación">#REF!</definedName>
    <definedName name="Estado_del_registro_biológico">#REF!</definedName>
    <definedName name="Estado_del_tipo">#REF!</definedName>
    <definedName name="Estado_nomenclatural">#REF!</definedName>
    <definedName name="Estado_taxonómico">#REF!</definedName>
    <definedName name="Etapa_de_vida">#REF!</definedName>
    <definedName name="Familia">#REF!</definedName>
    <definedName name="Fecha_de_georreferenciación">#REF!</definedName>
    <definedName name="Fecha_de_identificación">#REF!</definedName>
    <definedName name="Fecha_del_evento">#REF!</definedName>
    <definedName name="Fecha_original_del_evento">#REF!</definedName>
    <definedName name="Filo">#REF!</definedName>
    <definedName name="Formación">#REF!</definedName>
    <definedName name="Fuentes_de_georreferenciación">#REF!</definedName>
    <definedName name="Generalización_de_los_datos">#REF!</definedName>
    <definedName name="Género">#REF!</definedName>
    <definedName name="Geografía_superior">#REF!</definedName>
    <definedName name="Georreferenciado_por">#REF!</definedName>
    <definedName name="Grupo">#REF!</definedName>
    <definedName name="Grupo_de_islas">#REF!</definedName>
    <definedName name="Hábitat">#REF!</definedName>
    <definedName name="Hora_del_evento">#REF!</definedName>
    <definedName name="ID_de_la_colección">#REF!</definedName>
    <definedName name="ID_de_la_geografía_superior">#REF!</definedName>
    <definedName name="ID_de_la_identificación">#REF!</definedName>
    <definedName name="ID_de_la_institución">#REF!</definedName>
    <definedName name="ID_de_la_ubicación">#REF!</definedName>
    <definedName name="ID_del_concepto_del_taxón">#REF!</definedName>
    <definedName name="ID_del_conjunto_de_datos">#REF!</definedName>
    <definedName name="ID_del_contexto_geológico">#REF!</definedName>
    <definedName name="ID_del_evento">#REF!</definedName>
    <definedName name="ID_del_individuo">#REF!</definedName>
    <definedName name="ID_del_nombre_aceptado_usado">#REF!</definedName>
    <definedName name="ID_del_nombre_científico">#REF!</definedName>
    <definedName name="ID_del_nombre_de_acuerdo_con">#REF!</definedName>
    <definedName name="ID_del_nombre_original_usado">#REF!</definedName>
    <definedName name="ID_del_nombre_parental_usado">#REF!</definedName>
    <definedName name="ID_del_nombre_publicado_en">#REF!</definedName>
    <definedName name="ID_del_registro_biológico">#REF!</definedName>
    <definedName name="ID_del_taxón">#REF!</definedName>
    <definedName name="Identificaciones_previas">#REF!</definedName>
    <definedName name="Identificado_por">#REF!</definedName>
    <definedName name="Idioma">#REF!</definedName>
    <definedName name="Incertidumbre_de_las_coordenadas_en_metros">#REF!</definedName>
    <definedName name="Información_retenida">#REF!</definedName>
    <definedName name="Isla">#REF!</definedName>
    <definedName name="Latitud_decimal">#REF!</definedName>
    <definedName name="Latitud_original">#REF!</definedName>
    <definedName name="Localidad">#REF!</definedName>
    <definedName name="Localidad_original">#REF!</definedName>
    <definedName name="Longitud_decimal">#REF!</definedName>
    <definedName name="Longitud_original">#REF!</definedName>
    <definedName name="Medios_asociados">#REF!</definedName>
    <definedName name="Medios_de_establecimiento">#REF!</definedName>
    <definedName name="Mes">#REF!</definedName>
    <definedName name="Miembro">#REF!</definedName>
    <definedName name="Modificado">#REF!</definedName>
    <definedName name="Municipio">#REF!</definedName>
    <definedName name="Nombre_aceptado_usado">#REF!</definedName>
    <definedName name="Nombre_científico">#REF!</definedName>
    <definedName name="Nombre_común">#REF!</definedName>
    <definedName name="Nombre_de_acuerdo_con">#REF!</definedName>
    <definedName name="Nombre_del_conjunto_de_datos">#REF!</definedName>
    <definedName name="Nombre_original_usado">#REF!</definedName>
    <definedName name="Nombre_parental_usado">#REF!</definedName>
    <definedName name="Nombre_publicado_en">#REF!</definedName>
    <definedName name="Nombre_publicado_en_el_año">#REF!</definedName>
    <definedName name="Notas_de_campo">#REF!</definedName>
    <definedName name="Número_de_campo">#REF!</definedName>
    <definedName name="Número_de_catálogo">#REF!</definedName>
    <definedName name="Número_de_individuos">#REF!</definedName>
    <definedName name="Número_de_registro">#REF!</definedName>
    <definedName name="Orden">#REF!</definedName>
    <definedName name="Otros_números_de_catálogo">#REF!</definedName>
    <definedName name="País">#REF!</definedName>
    <definedName name="Periodo_tardío_o_sistema_superior">#REF!</definedName>
    <definedName name="Periodo_temprano_o_sistema_inferior">#REF!</definedName>
    <definedName name="Precisión_de_las_coordenadas">#REF!</definedName>
    <definedName name="Preparaciones">#REF!</definedName>
    <definedName name="Profundidad_máxima_en_metros">#REF!</definedName>
    <definedName name="Profundidad_mínima_en_metros">#REF!</definedName>
    <definedName name="Profundidad_original">#REF!</definedName>
    <definedName name="Propiedades_dinámicas">#REF!</definedName>
    <definedName name="Protocolo_de_georreferenciación">#REF!</definedName>
    <definedName name="Protocolo_de_muestreo">#REF!</definedName>
    <definedName name="Referencias">#REF!</definedName>
    <definedName name="Referencias_asociadas">#REF!</definedName>
    <definedName name="Referencias_de_la_identificación">#REF!</definedName>
    <definedName name="Registrado_por">#REF!</definedName>
    <definedName name="Registros_biológicos_asociados">#REF!</definedName>
    <definedName name="Reino">#REF!</definedName>
    <definedName name="Secuencias_asociadas">#REF!</definedName>
    <definedName name="Sexo">#REF!</definedName>
    <definedName name="Sistema_original_de_coordenadas">#REF!</definedName>
    <definedName name="SRS_footprint">#REF!</definedName>
    <definedName name="SRS_original">#REF!</definedName>
    <definedName name="Subgénero">#REF!</definedName>
    <definedName name="Taxones_asociados">#REF!</definedName>
    <definedName name="Términos_litoestratigráficos">#REF!</definedName>
    <definedName name="Tipo">#REF!</definedName>
    <definedName name="Titular_de_los_derechos">#REF!</definedName>
    <definedName name="Ubicación_de_acuerdo_con">#REF!</definedName>
    <definedName name="WKT_footprint">#REF!</definedName>
    <definedName name="Zona_bioestratigráfica_inferior">#REF!</definedName>
    <definedName name="Zona_bioestratigráfica_superior">#REF!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3" i="36" l="1"/>
  <c r="B3" i="3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Francisco Donoso Galdames</author>
  </authors>
  <commentList>
    <comment ref="E1" authorId="0" shapeId="0" xr:uid="{C797E3DE-B4C6-44A0-B682-011EF72A7E18}">
      <text>
        <r>
          <rPr>
            <sz val="9"/>
            <color indexed="81"/>
            <rFont val="Tahoma"/>
            <family val="2"/>
          </rPr>
          <t>Información del lugar del evento (dónde), fecha (cuándo) y la forma de muestreo (cómo)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Fco</author>
  </authors>
  <commentList>
    <comment ref="N4" authorId="0" shapeId="0" xr:uid="{00812A9B-C79E-41F0-B14D-1B53471ABFE9}">
      <text>
        <r>
          <rPr>
            <sz val="9"/>
            <color indexed="81"/>
            <rFont val="Tahoma"/>
            <family val="2"/>
          </rPr>
          <t xml:space="preserve">Los datos en amarillo son usados por el MMA pero son sinónimos a la taxonomía GBIF
</t>
        </r>
      </text>
    </comment>
  </commentList>
</comments>
</file>

<file path=xl/sharedStrings.xml><?xml version="1.0" encoding="utf-8"?>
<sst xmlns="http://schemas.openxmlformats.org/spreadsheetml/2006/main" count="1357" uniqueCount="1051">
  <si>
    <t xml:space="preserve">Léeme </t>
  </si>
  <si>
    <t>Instrucciones generales</t>
  </si>
  <si>
    <t>Esta planilla contiene el formato estandarizado de reporte de datos de biodiversidad en el marco de los compromisos ambientales en esta componente ambiental. Se deberá llenar cada hoja con la información respectiva y posteriormente cargar el archivo en el Sistema de Seguimiento Ambiental de la SMA en el sitio https://ssa.sma.gob.cl/. Se solicita la máxima rigurosidad en el reporte de estos datos y consistencia con lo reportado en los informes respectivos.</t>
  </si>
  <si>
    <t>Guía general de la RE SMA 343/2022</t>
  </si>
  <si>
    <t>Ingresar a este link</t>
  </si>
  <si>
    <t>Envío de dudas y observaciones</t>
  </si>
  <si>
    <t>Nombre de la hoja</t>
  </si>
  <si>
    <t>Descripción</t>
  </si>
  <si>
    <t>Orden de llenado</t>
  </si>
  <si>
    <t>-</t>
  </si>
  <si>
    <t>Diccionario</t>
  </si>
  <si>
    <t>Explicación detallada de cada campo solicitado en las hojas de la presente planilla, tipo de dato permitido y ejemplos para facilitar la comprensión y llenado por parte del titular</t>
  </si>
  <si>
    <t>Campaña</t>
  </si>
  <si>
    <t>Datos de la campaña de monitoreo planificada para el cumplimiento de los compromisos ambientales. Se solicita información de temporalidad y características de esta campaña</t>
  </si>
  <si>
    <t>EstacionReplica</t>
  </si>
  <si>
    <t>Datos de las estaciones de monitoreo que deben ser reportadas en función del compromiso ambiental de la o las RCA en específico y sus réplicas, si corresponde</t>
  </si>
  <si>
    <t>Ocurrencia</t>
  </si>
  <si>
    <t>Registros biológicos o de ocurrencia a nivel de especie que se está reportando considerando temporalidad del evento, ubicación, taxón, identificación, características, observaciones, entre otros. Debe ser consistente con el ID de EstacionReplica</t>
  </si>
  <si>
    <t>Descripción:</t>
  </si>
  <si>
    <t>Hoja</t>
  </si>
  <si>
    <t>Tipo de dato</t>
  </si>
  <si>
    <t>ID Campaña</t>
  </si>
  <si>
    <t>Número de campaña</t>
  </si>
  <si>
    <t>Año inicio</t>
  </si>
  <si>
    <t>Mes inicio</t>
  </si>
  <si>
    <t>Día inicio</t>
  </si>
  <si>
    <t>Año término</t>
  </si>
  <si>
    <t>Mes término</t>
  </si>
  <si>
    <t>Día término</t>
  </si>
  <si>
    <t>ID EstacionReplica</t>
  </si>
  <si>
    <t>Número Réplica</t>
  </si>
  <si>
    <t>Largo (m)</t>
  </si>
  <si>
    <t>Ancho (m)</t>
  </si>
  <si>
    <t>Radio (m)</t>
  </si>
  <si>
    <t>Superficie (m2)</t>
  </si>
  <si>
    <t>Latitud decimal central</t>
  </si>
  <si>
    <t>Longitud decimal central</t>
  </si>
  <si>
    <t>Latitud decimal inicio</t>
  </si>
  <si>
    <t>Longitud decimal inicio</t>
  </si>
  <si>
    <t>Latitud decimal término</t>
  </si>
  <si>
    <t>Longitud decimal término</t>
  </si>
  <si>
    <t>Año del evento</t>
  </si>
  <si>
    <t>Mes del evento</t>
  </si>
  <si>
    <t>Día del evento</t>
  </si>
  <si>
    <t>Hora inicio evento (hh:mm)</t>
  </si>
  <si>
    <t>Hora</t>
  </si>
  <si>
    <t>Tamaño de la muestra</t>
  </si>
  <si>
    <t>Profundidad (m)</t>
  </si>
  <si>
    <t>Valor</t>
  </si>
  <si>
    <t>Latitud decimal registro</t>
  </si>
  <si>
    <t>Longitud decimal registro</t>
  </si>
  <si>
    <t>Hora registro</t>
  </si>
  <si>
    <t>Nombre de campo</t>
  </si>
  <si>
    <t>Definición</t>
  </si>
  <si>
    <t>Ejemplos</t>
  </si>
  <si>
    <t>Identificador único de la campaña de monitoreo. Este ID es usado para vincular la hoja Campaña y Ocurrencia razón por la cual se requiere de consistencia</t>
  </si>
  <si>
    <t>1| 2| 3</t>
  </si>
  <si>
    <t>Numérico-Entero</t>
  </si>
  <si>
    <t>Nombre campaña</t>
  </si>
  <si>
    <t>Nombre de la campaña dado</t>
  </si>
  <si>
    <t>Anfibios verano 2018 | Campaña n°3 bosque valdiviano</t>
  </si>
  <si>
    <t>Texto</t>
  </si>
  <si>
    <t>Número de la campaña de muestreo, medición, análisis y/o control. Al menos debe haber 1 registro por planilla</t>
  </si>
  <si>
    <t>Año de inicio de la campaña</t>
  </si>
  <si>
    <t>2022 | 2018 | 2021</t>
  </si>
  <si>
    <t>Mes de  inicio  de la campaña</t>
  </si>
  <si>
    <t>8 | 4 | 10</t>
  </si>
  <si>
    <t>Día de inicio  de la campaña</t>
  </si>
  <si>
    <t>23 | 7 | 14</t>
  </si>
  <si>
    <t>Año de término de la campaña</t>
  </si>
  <si>
    <t>Mes de término de la campaña</t>
  </si>
  <si>
    <t>Día de término de la campaña</t>
  </si>
  <si>
    <t>Objetivo de la campaña</t>
  </si>
  <si>
    <t>Objetivo específico por la cual se está realizando a campaña de monitoreo</t>
  </si>
  <si>
    <r>
      <t xml:space="preserve">Campaña de rescate de especies de </t>
    </r>
    <r>
      <rPr>
        <i/>
        <sz val="11"/>
        <rFont val="Calibri"/>
        <family val="2"/>
        <scheme val="minor"/>
      </rPr>
      <t>Chinchilla chinchilla</t>
    </r>
    <r>
      <rPr>
        <sz val="11"/>
        <rFont val="Calibri"/>
        <family val="2"/>
        <scheme val="minor"/>
      </rPr>
      <t xml:space="preserve"> comprometida en la RCA 345/2022 | Campaña de monitoreo de aves rapaces asociada a la RCA 556/2022</t>
    </r>
  </si>
  <si>
    <t>Comentarios adicionales</t>
  </si>
  <si>
    <t>Cualquier comentario adicional en relación a la campaña</t>
  </si>
  <si>
    <t>Campaña adicional de monitoreo</t>
  </si>
  <si>
    <t>Identificador único de la estación y la réplica usada para el monitoreo. Este ID es usado para vincular la hoja EstacionReplica y Ocurrencia razón por la cual se requiere de consistencia</t>
  </si>
  <si>
    <t>1 | 2 |3</t>
  </si>
  <si>
    <t>Nombre estación</t>
  </si>
  <si>
    <t>Nombre que el consultor otorga a la estación de monitoreo. Se sugiere utilizar la misma nomenclatura que es utilizada en el informe de seguimiento</t>
  </si>
  <si>
    <t>Parcela 1| Estación 1| Sitio 1 |Vertientes23</t>
  </si>
  <si>
    <t>Tipo de monitoreo</t>
  </si>
  <si>
    <t>Característica espacial de la estación. Asimilable con el Tipo de Unidad de Muestreo</t>
  </si>
  <si>
    <t>Área | Transecto</t>
  </si>
  <si>
    <t>Identificador numérico correlativo del número de réplicas de cada estación. Así, si una estación de monitoreo tiene 3 transectos, se deberá separar en 3 filas. Si una estación no tiene replicas colocar un 1 o dejar en blanco</t>
  </si>
  <si>
    <t>1 | 2 | 3</t>
  </si>
  <si>
    <t>Descripción EstacionReplica</t>
  </si>
  <si>
    <t>Descripción física de la estación de monitoreo y réplica indicando aspectos de relevancia o del estado del momento de realizado el monitoreo.</t>
  </si>
  <si>
    <t>Ubicada aguas arriba del punto de descarga de la planta de tratamiento de aguas servidas| Estación sufrió modificaciones de relevancia producto de un aluvión en el verano 2013</t>
  </si>
  <si>
    <t>Longitud en metros de la estación. Aplica únicamente si el largo de la estación es una característica relevante de la misma como en el caso de un transecto u otra forma poligonal</t>
  </si>
  <si>
    <t>2030 | 29,4 (o 24.4 si la configuración decimal de su ordenador es .)</t>
  </si>
  <si>
    <t>Numérico-Decimal</t>
  </si>
  <si>
    <t>Ancho en metros de la estación-réplica. Aplica únicamente si es una característica relevante de la de la misma como en el caso de un transecto u otra forma poligonal</t>
  </si>
  <si>
    <t>2 | 30</t>
  </si>
  <si>
    <t>Radio en metros de la estación-réplica. Aplica únicamente si es una característica relevante de la misma como en el caso de un círculo</t>
  </si>
  <si>
    <t>8| 15</t>
  </si>
  <si>
    <t>Superficie o área de la estación  en metros cuadrados. Aplica únicamente si la estación se considera un pólígono (no puntual)</t>
  </si>
  <si>
    <t>5000 | 10000 | 230,4</t>
  </si>
  <si>
    <t>Latitud geodésica del centro geográfico de la estación-réplica. Utilizar Sistema de Referencia de Coordenadas (SRC) WGS-84, con al menos 5 decimales. En el caso de una estación-réplica lineal será el punto medio del recorrido, mientras que en una poligonal el centroide</t>
  </si>
  <si>
    <t>-38,45514 |-34,933086</t>
  </si>
  <si>
    <t>Numérico-Decimal negativo</t>
  </si>
  <si>
    <t>Longitud geodésica del centro geográfico de la estación-réplica. Utilizar Sistema de Referencia de Coordenadas (SRC) WGS-84, con al menos 5 decimales. En el caso de una estación-réplica lineal será el punto medio del recorrido, mientras que en una poligonal el centroide</t>
  </si>
  <si>
    <t>-71,89896 | -72,430269</t>
  </si>
  <si>
    <t>Latitud geodésica del inicio de la estación-réplica . Utilizar Sistema de Referencia de Coordenadas (SRC) WGS-84, con al menos 5 decimales. Aplica para estación-réplica lineal (transecto) o bien otras formas que sea relevante marcar tanto el inicio y fin de su recorrido</t>
  </si>
  <si>
    <t>Longitud geodésica del inicio de la estación-réplica . Utilizar Sistema de Referencia de Coordenadas (SRC) WGS-84, con al menos 5 decimales. Aplica para estación-réplica lineal (transecto) o bien otras formas que sea relevante marcar tanto el inicio y fin de su recorrido</t>
  </si>
  <si>
    <t>Latitud geodésica del término de la estación-réplica . Utilizar Sistema de Referencia de Coordenadas (SRC) WGS-84, con al menos 5 decimales. Aplica para estación-réplica lineal (transecto) o bien otras formas que sea relevante marcar tanto el inicio y fin de su recorrido</t>
  </si>
  <si>
    <t>Longitud geodésica del término de la estación-réplica . Utilizar Sistema de Referencia de Coordenadas (SRC) WGS-84, con al menos 5 decimales. Aplica para estación-réplica lineal (transecto) o bien otras formas que sea relevante marcar tanto el inicio y fin de su recorrido</t>
  </si>
  <si>
    <t>Región</t>
  </si>
  <si>
    <t>Región de la estación-réplica</t>
  </si>
  <si>
    <t>Antofagasta| Ñuble| Maule</t>
  </si>
  <si>
    <t>Provincia</t>
  </si>
  <si>
    <t>Provincia de la estación-réplica</t>
  </si>
  <si>
    <t>El Loa| Elqui| Valparaíso</t>
  </si>
  <si>
    <t xml:space="preserve">Comuna </t>
  </si>
  <si>
    <t>Comuna de la estación-réplica</t>
  </si>
  <si>
    <t>Iquique| Coquimbo| San Felipe</t>
  </si>
  <si>
    <t>Localidad</t>
  </si>
  <si>
    <t>Localidad de la de la estación-réplica</t>
  </si>
  <si>
    <t>kilómetro 25 camino San José de Maipo (Ruta G-25)| Islas Desventuradas</t>
  </si>
  <si>
    <t>Ecosistema nivel 1</t>
  </si>
  <si>
    <t>Agrupación general de ecosistemas acuáticos y terrestres.</t>
  </si>
  <si>
    <t>Acuático| terrestre</t>
  </si>
  <si>
    <t>Ecosistema nivel 2</t>
  </si>
  <si>
    <t>Agrupación particular de los ecosistemas acuáticos y terrestres.</t>
  </si>
  <si>
    <t>Estuario| Desierto absoluto| Matorral| Bosque siempreverde| Bosque resinoso</t>
  </si>
  <si>
    <t>Cualquier observación adicional a la ubicación de las estación-réplica</t>
  </si>
  <si>
    <t>Estación relocalizada desde la 4ta campaña en adelante por aluvión | Polígono definido según compromisos RCA</t>
  </si>
  <si>
    <t>AUTOCOMPLETADO NombreEstacion-Número Replica-Tipo de monitoreo</t>
  </si>
  <si>
    <t>Campo autocompletado para facilitar el correcto ingreso del ID de las estación-réplica. Sirve solo a modo de chequeo</t>
  </si>
  <si>
    <t>Año el cual se produjo el registro biológico</t>
  </si>
  <si>
    <t>2022 | 2019 | 2015</t>
  </si>
  <si>
    <t>Mes el cual se produjo el registro biológico</t>
  </si>
  <si>
    <t>3| 12 | 4</t>
  </si>
  <si>
    <t>Día el cual se produjo el registro biológico</t>
  </si>
  <si>
    <t>31 | 9 | 12</t>
  </si>
  <si>
    <t>Tiempo durante el cual se produjo el registro biológico en formato hh:mm y huso horario -4 GMT</t>
  </si>
  <si>
    <t>14:07| 08:45</t>
  </si>
  <si>
    <t>Protocolo de muestreo</t>
  </si>
  <si>
    <t>Nombre de, referencia a, o descripción del método o protocolo usado durante el evento</t>
  </si>
  <si>
    <t>Trampa de luz UV| Red de niebla| Arrastre de fondo | Observación ad hoc| Punto de conteo| Red surber.</t>
  </si>
  <si>
    <t>Valor numérico para la medida del tamaño (duración, longitud, área o volumen) de una muestra en un evento de muestreo. En comunidades marinas, el tamaño de la muestra corresponde al agua filtrada.</t>
  </si>
  <si>
    <t>3 | 2 | 5,5</t>
  </si>
  <si>
    <t>Unidad del tamaño de la muestra</t>
  </si>
  <si>
    <t>Unidad de medida del tamaño (duración, longitud, área o volumen) de una muestra en un evento de muestreo.</t>
  </si>
  <si>
    <t>litros| metros cúbicos| hectáreas</t>
  </si>
  <si>
    <t>Esfuerzo de muestreo</t>
  </si>
  <si>
    <t>La cantidad de esfuerzo realizado durante el evento</t>
  </si>
  <si>
    <t xml:space="preserve">
40 trampas | 10 horas de observador| 10 km caminando</t>
  </si>
  <si>
    <t>Profundidad desde la cota de agua en metros. Serán metros bajo el nivel del mar o desde el nivel del cuerpo de agua en caso de muestreo marítimo o de aguas continentales, respectivamente</t>
  </si>
  <si>
    <t>25 | 3 | 15,5</t>
  </si>
  <si>
    <t>Comentarios del evento</t>
  </si>
  <si>
    <t>Comentarios o anotaciones sobre el evento</t>
  </si>
  <si>
    <t>Después de las lluvias recientes | El río estuvo cercano a un estado de desbordamiento</t>
  </si>
  <si>
    <t>Reino</t>
  </si>
  <si>
    <t>El nombre científico completo del reino al que pertenece el taxón</t>
  </si>
  <si>
    <t>Animalia| Plantae</t>
  </si>
  <si>
    <t>Filo o división</t>
  </si>
  <si>
    <t>El nombre científico completo del filo o división al que pertenece el taxón</t>
  </si>
  <si>
    <t>Chordata (filo)| Bryophyta (división)</t>
  </si>
  <si>
    <t>Clase</t>
  </si>
  <si>
    <t>El nombre científico completo de la clase al que pertenece el taxón</t>
  </si>
  <si>
    <t>Mammalia| Hepaticopsida</t>
  </si>
  <si>
    <t>Orden</t>
  </si>
  <si>
    <t>El nombre científico completo del orden al que pertenece el taxón</t>
  </si>
  <si>
    <t>Carnivora| Monocleales</t>
  </si>
  <si>
    <t>Familia</t>
  </si>
  <si>
    <t>El nombre científico completo de la familia al que pertenece el taxón</t>
  </si>
  <si>
    <t>Felidae| Monocleaceae</t>
  </si>
  <si>
    <t>Género</t>
  </si>
  <si>
    <t>El nombre científico completo del género al que pertenece el taxón</t>
  </si>
  <si>
    <t>Puma| Monoclea</t>
  </si>
  <si>
    <t>Subgénero</t>
  </si>
  <si>
    <t>El nombre científico completo del subgénero al que pertenece el taxón. Los valores deben incluir el género para evitar la confusión de homonimia</t>
  </si>
  <si>
    <t>Strobus (Pinus)| Puma (Puma) Loligo (Amerigo)| Hieracium subgen. Pilosella</t>
  </si>
  <si>
    <t>Epíteto específico</t>
  </si>
  <si>
    <t>El nombre del epíteto específico de Nombre científico</t>
  </si>
  <si>
    <t>concolor| gottschei</t>
  </si>
  <si>
    <t>Epíteto infraespecífico</t>
  </si>
  <si>
    <t>El nombre con la categoría de taxón más baja o más especifica por debajo del epíteto específico (parte terminal del nombre), excluyendo cualquier otra denominación de categoría</t>
  </si>
  <si>
    <t>para el nombre científico Carex viridula subsp. brachyrrhyncha var. elatior el Epíteto infraespecífico será elatior</t>
  </si>
  <si>
    <t>Nombre común</t>
  </si>
  <si>
    <t>El nombre o nombres comunes del taxón.</t>
  </si>
  <si>
    <t>Cóndor Andino| Águila Americana| Buitre| Chulo</t>
  </si>
  <si>
    <t>Comentarios del taxón</t>
  </si>
  <si>
    <t>Comentarios o notas sobre el taxón o nombre.</t>
  </si>
  <si>
    <t>Este nombre está mal escrito en uso común</t>
  </si>
  <si>
    <t>Estado del organismo</t>
  </si>
  <si>
    <t>Estado del registro biológico que indica si está vivo o muerto, o bien , otras características de relevancia</t>
  </si>
  <si>
    <t>Vivo | Muerto | Dañado</t>
  </si>
  <si>
    <t>Tipo de componente abiótico</t>
  </si>
  <si>
    <t>Detalle del componente abiótico necesario en el contexto de una parcela donde se indica la superficie o porcentaje cubierto por rocas, grava, agua o similares</t>
  </si>
  <si>
    <t>Agua | Roca | Gravilla | Suelo desnudo</t>
  </si>
  <si>
    <t>Parámetro</t>
  </si>
  <si>
    <t>Característica numérica acerca de la población de interés o en estudio.</t>
  </si>
  <si>
    <t>Abundancia | Biomasa | Cobertura</t>
  </si>
  <si>
    <t>Tipo de cuantificación</t>
  </si>
  <si>
    <t xml:space="preserve">El tipo de sistema de cuantificación utilizado para la cuantificación del organismo u organismos. </t>
  </si>
  <si>
    <t>Abundancia absoluta | Abundancia relativa | Cobertura relativa</t>
  </si>
  <si>
    <t>Un número o valor de enumeración para la cuantificación del organismo u organismos. Los números en porcentaje representarlos sin el símbolo %</t>
  </si>
  <si>
    <t xml:space="preserve">1 | 25 | 2,3 </t>
  </si>
  <si>
    <t>Unidad de valor</t>
  </si>
  <si>
    <t>La unidad del tipo de sistema de cuantificación utilizado</t>
  </si>
  <si>
    <t>Unidad | % | g/m2</t>
  </si>
  <si>
    <t>Latitud geodésica en la cual se obtuvo el registro. Utilizar Sistema de Referencia de Coordenadas (SRC) WGS-84, con al menos 5 decimales. Generalmente este campo se llenará para avistamiento de fauna y en menor medida para flora, vegetación y hongos</t>
  </si>
  <si>
    <t>-38,455146</t>
  </si>
  <si>
    <t>Longitud geodésica en la cual se obtuvo el registro biológico. Utilizar Sistema de Referencia de Coordenadas (SRC) WGS-84, con al menos 5 decimales. Generalmente este campo se llenará para avistamiento de fauna y en menor medida para flora, vegetación y hongos</t>
  </si>
  <si>
    <t>-71,898965</t>
  </si>
  <si>
    <t>Hora en la cual se obtuvo el registro biológico. Generalmente este campo se llenará para avistamiento de fauna y en menor medida para flora, vegetación y hongos. Formato hh:mm y huso horario -4 GMT</t>
  </si>
  <si>
    <t>14:09 | 09:30</t>
  </si>
  <si>
    <t>Condición reproductiva</t>
  </si>
  <si>
    <t>La condición reproductiva de la(s) entidad(es) biológica(s) representada(s) en el Registro biológico. Se recomienda el uso de un vocabulario controlado.</t>
  </si>
  <si>
    <t>No reproductiva| En gestación| Floración| Fructificación</t>
  </si>
  <si>
    <t>Sexo (Fauna)</t>
  </si>
  <si>
    <t>El sexo de la(s) entidad(es) biológica(s) representada(s) en el Registro biológico. Se recomienda el uso del vocabulario disponible para este elemento .</t>
  </si>
  <si>
    <t>hembra| hermafrodita| 8 machos| 4 hembras.</t>
  </si>
  <si>
    <t>Etapa de vida (Fauna)</t>
  </si>
  <si>
    <t>La edad o etapa de vida de la(s) entidad(es) biológica(s) en el momento del Registro biológico. Se recomienda el uso de un vocabulario controlado. Se recomienda el uso del vocabulario disponible para este elemento.</t>
  </si>
  <si>
    <t>Huevo| Juvenil| Adulto| 2 adultos 4 juveniles</t>
  </si>
  <si>
    <t>Comportamiento (Fauna)</t>
  </si>
  <si>
    <t>Una descripción del comportamiento mostrado por el sujeto en el momento del Registro biológico. Se recomienda el uso de un vocabulario controlado.</t>
  </si>
  <si>
    <t>Posando| Alimentándose| Corriendo</t>
  </si>
  <si>
    <t>Hábito de crecimiento (Flora)</t>
  </si>
  <si>
    <t>Hábito de crecimiento observado en el o los individuos en el momento del registro.</t>
  </si>
  <si>
    <t>Árbol| Arbusto| Hierba trepadora| Árbol suculento.</t>
  </si>
  <si>
    <t>Propiedades dinámicas</t>
  </si>
  <si>
    <t>Una lista (en una fila continua y separada por ";") de las medidas, hechos, características, o aseveraciones adicionales sobre el registro. Su intención es proporcionar cualquier dato de relevancia que no se expresa en otros campos</t>
  </si>
  <si>
    <t>peso en gramos =1200; altura en metros =1 | humedad relativa =28| temperatura del aire en grados ºC=22| tamaño de la muestra en kilogramos=10| estado según UICN=vulnerable</t>
  </si>
  <si>
    <t>Tipo de registro</t>
  </si>
  <si>
    <t xml:space="preserve">La naturaleza o género del recurso. Indicar si es un avistamiento "directo" o especificar uno "indirecto", por ejemplo, huellas, madrigueras, restos de presas, plumas, senderos, restos óseos, revolcaderos, corresponde a un tipo de registro </t>
  </si>
  <si>
    <t xml:space="preserve">Imagen fija |Imagen en movimiento| Registro visual| Registro auditivo| Captura| Indirecto-huella | Indirecto-fecas
</t>
  </si>
  <si>
    <t>Comentarios del registro biológico</t>
  </si>
  <si>
    <t>Comentarios o anotaciones sobre el Registro biológico.</t>
  </si>
  <si>
    <t>Muerto en la vía</t>
  </si>
  <si>
    <t>Muestreado por</t>
  </si>
  <si>
    <t>Una lista (en una fila continua y separada por “;”) de los nombres de las personas que muestrearon la entidad biológica.</t>
  </si>
  <si>
    <t>James L. Patton| Theodore Pappenfuss| Robert Macey</t>
  </si>
  <si>
    <t>Identificado por</t>
  </si>
  <si>
    <t>Una lista (en una fila continua y separada por “;”) de los nombres de las personas que identificaron la entidad biológica.</t>
  </si>
  <si>
    <t>Comentarios de la Identificación</t>
  </si>
  <si>
    <t>Cualquier comentario relevante de mencionar acerca de la identificación</t>
  </si>
  <si>
    <t>Se distingue entre Anthus correndera y Anthus hellmayri basado en las longitudes comparativas de las uñas</t>
  </si>
  <si>
    <t>Observaciones adicionales</t>
  </si>
  <si>
    <t>Una breve frase o término estándar ("cf.","aff.") para expresar las dudas del determinador sobre la identificación.</t>
  </si>
  <si>
    <t>Para Quercus aff. agrifolia var. oxyadenia| el Calificador de la identificación sería aff. agrifolia var. oxyadenia con valores acompañantes Quercus en Género| agrifolia en Epíteto específico| oxyadenia en Epíteto infraespecífico| y var. en Categoría taxonómica</t>
  </si>
  <si>
    <t>Fecha ejecución campaña</t>
  </si>
  <si>
    <t>Información Estación-Réplica</t>
  </si>
  <si>
    <t>Evento</t>
  </si>
  <si>
    <t>Taxón</t>
  </si>
  <si>
    <t>Registro biótico y/o abiótico</t>
  </si>
  <si>
    <t>Identificación</t>
  </si>
  <si>
    <t>AUTOCOMPLETADO NombreCampaña</t>
  </si>
  <si>
    <t>Region</t>
  </si>
  <si>
    <t>Comuna</t>
  </si>
  <si>
    <t>Año</t>
  </si>
  <si>
    <t>Mes</t>
  </si>
  <si>
    <t>Dia</t>
  </si>
  <si>
    <t>Arica y Parinacota</t>
  </si>
  <si>
    <t>Iquique</t>
  </si>
  <si>
    <t>Illapel</t>
  </si>
  <si>
    <t>Tarapacá</t>
  </si>
  <si>
    <t>Tamarugal</t>
  </si>
  <si>
    <t>Salamanca</t>
  </si>
  <si>
    <t>Antofagasta</t>
  </si>
  <si>
    <t>Los Vilos</t>
  </si>
  <si>
    <t>Atacama</t>
  </si>
  <si>
    <t>El Loa</t>
  </si>
  <si>
    <t>Canela</t>
  </si>
  <si>
    <t>Coquimbo</t>
  </si>
  <si>
    <t>Tocopilla</t>
  </si>
  <si>
    <t>Ovalle</t>
  </si>
  <si>
    <t>Valparaíso</t>
  </si>
  <si>
    <t>Copiapo</t>
  </si>
  <si>
    <t>Río Hurtado</t>
  </si>
  <si>
    <t>Metropolitana</t>
  </si>
  <si>
    <t>Chañaral</t>
  </si>
  <si>
    <t>Monte Patria</t>
  </si>
  <si>
    <t>Libertador General Bernardo O'Higgins</t>
  </si>
  <si>
    <t>Huasco</t>
  </si>
  <si>
    <t>Combarbalá</t>
  </si>
  <si>
    <t>Maule</t>
  </si>
  <si>
    <t>Elqui</t>
  </si>
  <si>
    <t>Punitaqui</t>
  </si>
  <si>
    <t>Ñuble</t>
  </si>
  <si>
    <t>Choapa</t>
  </si>
  <si>
    <t>Andacollo</t>
  </si>
  <si>
    <t>Biobío</t>
  </si>
  <si>
    <t>Limari</t>
  </si>
  <si>
    <t>Araucanía</t>
  </si>
  <si>
    <t>Valparaiso</t>
  </si>
  <si>
    <t>La Higuera</t>
  </si>
  <si>
    <t>Los Ríos</t>
  </si>
  <si>
    <t>Isla de Pascua</t>
  </si>
  <si>
    <t>La Serena</t>
  </si>
  <si>
    <t>Los Lagos</t>
  </si>
  <si>
    <t>Los Andes</t>
  </si>
  <si>
    <t>Paihuano</t>
  </si>
  <si>
    <t>Aysén del General Carlos Ibáñez del Campo</t>
  </si>
  <si>
    <t>Petorca</t>
  </si>
  <si>
    <t>Vicuña</t>
  </si>
  <si>
    <t>Magallanes y la Antártica Chilena</t>
  </si>
  <si>
    <t>Quillota</t>
  </si>
  <si>
    <t>Chépica</t>
  </si>
  <si>
    <t>San Antonio</t>
  </si>
  <si>
    <t>Quinta de Tilcoco</t>
  </si>
  <si>
    <t>San Felipe de Aconcagua</t>
  </si>
  <si>
    <t>Chimbarongo</t>
  </si>
  <si>
    <t>Cachapoal</t>
  </si>
  <si>
    <t>Doñihue</t>
  </si>
  <si>
    <t>Cardenal Caro</t>
  </si>
  <si>
    <t>Graneros</t>
  </si>
  <si>
    <t>Colchagua</t>
  </si>
  <si>
    <t>La Estrella</t>
  </si>
  <si>
    <t>Talca</t>
  </si>
  <si>
    <t>Las Cabras</t>
  </si>
  <si>
    <t>Cauquenes</t>
  </si>
  <si>
    <t>Machalí</t>
  </si>
  <si>
    <t>Curico</t>
  </si>
  <si>
    <t>Malloa</t>
  </si>
  <si>
    <t>Linares</t>
  </si>
  <si>
    <t>Marchihue</t>
  </si>
  <si>
    <t>Concepcion</t>
  </si>
  <si>
    <t>Olivar</t>
  </si>
  <si>
    <t>Arauco</t>
  </si>
  <si>
    <t>Palmilla</t>
  </si>
  <si>
    <t>Biobio</t>
  </si>
  <si>
    <t>Peralillo</t>
  </si>
  <si>
    <t>Pichidegua</t>
  </si>
  <si>
    <t>Cautin</t>
  </si>
  <si>
    <t>Rancagua</t>
  </si>
  <si>
    <t>Malleco</t>
  </si>
  <si>
    <t>Rengo</t>
  </si>
  <si>
    <t>Llanquihue</t>
  </si>
  <si>
    <t>Requínoa</t>
  </si>
  <si>
    <t>Chiloe</t>
  </si>
  <si>
    <t>San Fernando</t>
  </si>
  <si>
    <t>Osorno</t>
  </si>
  <si>
    <t>San Vicente</t>
  </si>
  <si>
    <t>Palena</t>
  </si>
  <si>
    <t>Santa Cruz</t>
  </si>
  <si>
    <t>Coihaique</t>
  </si>
  <si>
    <t>Lolol</t>
  </si>
  <si>
    <t>Aisen</t>
  </si>
  <si>
    <t>Paredones</t>
  </si>
  <si>
    <t>Capitan Prat</t>
  </si>
  <si>
    <t>Placilla</t>
  </si>
  <si>
    <t>General Carrera</t>
  </si>
  <si>
    <t>Nancagua</t>
  </si>
  <si>
    <t>Magallanes</t>
  </si>
  <si>
    <t>Mostazal</t>
  </si>
  <si>
    <t>Antartica Chilena</t>
  </si>
  <si>
    <t>Codegua</t>
  </si>
  <si>
    <t>Tierra del Fuego</t>
  </si>
  <si>
    <t>Coltauco</t>
  </si>
  <si>
    <t>Ultima Esperanza</t>
  </si>
  <si>
    <t>Pumanque</t>
  </si>
  <si>
    <t>Santiago</t>
  </si>
  <si>
    <t>Peumo</t>
  </si>
  <si>
    <t>Cordillera</t>
  </si>
  <si>
    <t>Pichilemu</t>
  </si>
  <si>
    <t>Chacabuco</t>
  </si>
  <si>
    <t>Arica</t>
  </si>
  <si>
    <t>Maipo</t>
  </si>
  <si>
    <t>General Lagos</t>
  </si>
  <si>
    <t>Melipilla</t>
  </si>
  <si>
    <t>Camarones</t>
  </si>
  <si>
    <t>Talagante</t>
  </si>
  <si>
    <t>Putre</t>
  </si>
  <si>
    <t>Valdivia</t>
  </si>
  <si>
    <t>Camiña</t>
  </si>
  <si>
    <t>Ranco</t>
  </si>
  <si>
    <t>Huara</t>
  </si>
  <si>
    <t>Pica</t>
  </si>
  <si>
    <t>Parinacota</t>
  </si>
  <si>
    <t>Colchane</t>
  </si>
  <si>
    <t>Diguillin</t>
  </si>
  <si>
    <t>Alto Hospicio</t>
  </si>
  <si>
    <t>Punilla</t>
  </si>
  <si>
    <t>Itata</t>
  </si>
  <si>
    <t>Pozo Almonte</t>
  </si>
  <si>
    <t>Sierra Gorda</t>
  </si>
  <si>
    <t>Taltal</t>
  </si>
  <si>
    <t>Ollague</t>
  </si>
  <si>
    <t>María Elena</t>
  </si>
  <si>
    <t>San Pedro de Atacama</t>
  </si>
  <si>
    <t>Mejillones</t>
  </si>
  <si>
    <t>Calama</t>
  </si>
  <si>
    <t>Vallenar</t>
  </si>
  <si>
    <t>Caldera</t>
  </si>
  <si>
    <t>Alto del Carmen</t>
  </si>
  <si>
    <t>Tierra Amarilla</t>
  </si>
  <si>
    <t>Diego de Almagro</t>
  </si>
  <si>
    <t>Copiapó</t>
  </si>
  <si>
    <t>Freirina</t>
  </si>
  <si>
    <t>Cabildo</t>
  </si>
  <si>
    <t>Santa María</t>
  </si>
  <si>
    <t>Catemu</t>
  </si>
  <si>
    <t>Llay Llay</t>
  </si>
  <si>
    <t>Calle Larga</t>
  </si>
  <si>
    <t>Olmué</t>
  </si>
  <si>
    <t>Panquehue</t>
  </si>
  <si>
    <t>Rinconada</t>
  </si>
  <si>
    <t>San Felipe</t>
  </si>
  <si>
    <t>Hijuelas</t>
  </si>
  <si>
    <t>Villa Alemana</t>
  </si>
  <si>
    <t>Nogales</t>
  </si>
  <si>
    <t>Calera</t>
  </si>
  <si>
    <t>La Cruz</t>
  </si>
  <si>
    <t>Quilpué</t>
  </si>
  <si>
    <t>Limache</t>
  </si>
  <si>
    <t>San Esteban</t>
  </si>
  <si>
    <t>Santo Domingo</t>
  </si>
  <si>
    <t>Cartagena</t>
  </si>
  <si>
    <t>Algarrobo</t>
  </si>
  <si>
    <t>Concón</t>
  </si>
  <si>
    <t>Puchuncaví</t>
  </si>
  <si>
    <t>Papudo</t>
  </si>
  <si>
    <t>El Tabo</t>
  </si>
  <si>
    <t>Viña del Mar</t>
  </si>
  <si>
    <t>Quintero</t>
  </si>
  <si>
    <t>Zapallar</t>
  </si>
  <si>
    <t>El Quisco</t>
  </si>
  <si>
    <t>La Ligua</t>
  </si>
  <si>
    <t>Casablanca</t>
  </si>
  <si>
    <t>Putaendo</t>
  </si>
  <si>
    <t>La Cisterna</t>
  </si>
  <si>
    <t>San Ramón</t>
  </si>
  <si>
    <t>San Bernardo</t>
  </si>
  <si>
    <t>El Bosque</t>
  </si>
  <si>
    <t>Pirque</t>
  </si>
  <si>
    <t>Isla de Maipo</t>
  </si>
  <si>
    <t>Paine</t>
  </si>
  <si>
    <t>Alhué</t>
  </si>
  <si>
    <t>El Monte</t>
  </si>
  <si>
    <t>Peñaflor</t>
  </si>
  <si>
    <t>San Pedro</t>
  </si>
  <si>
    <t>María Pinto</t>
  </si>
  <si>
    <t>Til til</t>
  </si>
  <si>
    <t>Cerro Navia</t>
  </si>
  <si>
    <t>Conchalí</t>
  </si>
  <si>
    <t>Lo Prado</t>
  </si>
  <si>
    <t>Quinta Normal</t>
  </si>
  <si>
    <t>San Joaquín</t>
  </si>
  <si>
    <t>San Miguel</t>
  </si>
  <si>
    <t>Pedro Aguirre Cerda</t>
  </si>
  <si>
    <t>Lo Espejo</t>
  </si>
  <si>
    <t>Cerrillos</t>
  </si>
  <si>
    <t>Calera de Tango</t>
  </si>
  <si>
    <t>Padre Hurtado</t>
  </si>
  <si>
    <t>Vitacura</t>
  </si>
  <si>
    <t>Providencia</t>
  </si>
  <si>
    <t>Recoleta</t>
  </si>
  <si>
    <t>Estación Central</t>
  </si>
  <si>
    <t>Macul</t>
  </si>
  <si>
    <t>La Reina</t>
  </si>
  <si>
    <t>Las Condes</t>
  </si>
  <si>
    <t>Ñuñoa</t>
  </si>
  <si>
    <t>Peñalolén</t>
  </si>
  <si>
    <t>Independencia</t>
  </si>
  <si>
    <t>Maipú</t>
  </si>
  <si>
    <t>Curacaví</t>
  </si>
  <si>
    <t>Lampa</t>
  </si>
  <si>
    <t>Pudahuel</t>
  </si>
  <si>
    <t>Quilicura</t>
  </si>
  <si>
    <t>Huechuraba</t>
  </si>
  <si>
    <t>Colina</t>
  </si>
  <si>
    <t>La Pintana</t>
  </si>
  <si>
    <t>La Granja</t>
  </si>
  <si>
    <t>La Florida</t>
  </si>
  <si>
    <t>Puente Alto</t>
  </si>
  <si>
    <t>Lo Barnechea</t>
  </si>
  <si>
    <t>Buin</t>
  </si>
  <si>
    <t>San José de Maipo</t>
  </si>
  <si>
    <t>Renca</t>
  </si>
  <si>
    <t>Teno</t>
  </si>
  <si>
    <t>Hualañé</t>
  </si>
  <si>
    <t>Rauco</t>
  </si>
  <si>
    <t>Sagrada Familia</t>
  </si>
  <si>
    <t>Pencahue</t>
  </si>
  <si>
    <t>Pelarco</t>
  </si>
  <si>
    <t>San Javier</t>
  </si>
  <si>
    <t>Empedrado</t>
  </si>
  <si>
    <t>Yerbas Buenas</t>
  </si>
  <si>
    <t>Villa Alegre</t>
  </si>
  <si>
    <t>Longaví</t>
  </si>
  <si>
    <t>Retiro</t>
  </si>
  <si>
    <t>San Rafael</t>
  </si>
  <si>
    <t>Parral</t>
  </si>
  <si>
    <t>Río Claro</t>
  </si>
  <si>
    <t>Molina</t>
  </si>
  <si>
    <t>Chanco</t>
  </si>
  <si>
    <t>Curepto</t>
  </si>
  <si>
    <t>Romeral</t>
  </si>
  <si>
    <t>San Clemente</t>
  </si>
  <si>
    <t>Pelluhue</t>
  </si>
  <si>
    <t>Constitución</t>
  </si>
  <si>
    <t>Curicó</t>
  </si>
  <si>
    <t>Colbún</t>
  </si>
  <si>
    <t>Vichuquén</t>
  </si>
  <si>
    <t>Licantén</t>
  </si>
  <si>
    <t>Portezuelo</t>
  </si>
  <si>
    <t>Ránquil</t>
  </si>
  <si>
    <t>Florida</t>
  </si>
  <si>
    <t>Chillán Viejo</t>
  </si>
  <si>
    <t>Bulnes</t>
  </si>
  <si>
    <t>San Ignacio</t>
  </si>
  <si>
    <t>Concepción</t>
  </si>
  <si>
    <t>El Carmen</t>
  </si>
  <si>
    <t>Pemuco</t>
  </si>
  <si>
    <t>Chiguayante</t>
  </si>
  <si>
    <t>Cabrero</t>
  </si>
  <si>
    <t>Hualqui</t>
  </si>
  <si>
    <t>Yumbel</t>
  </si>
  <si>
    <t>Yungay</t>
  </si>
  <si>
    <t>Tucapel</t>
  </si>
  <si>
    <t>Santa Juana</t>
  </si>
  <si>
    <t>San Rosendo</t>
  </si>
  <si>
    <t>Quilleco</t>
  </si>
  <si>
    <t>Laja</t>
  </si>
  <si>
    <t>Los Ángeles</t>
  </si>
  <si>
    <t>Curanilahue</t>
  </si>
  <si>
    <t>Negrete</t>
  </si>
  <si>
    <t>Contulmo</t>
  </si>
  <si>
    <t>San Nicolás</t>
  </si>
  <si>
    <t>Chillán</t>
  </si>
  <si>
    <t>Quirihue</t>
  </si>
  <si>
    <t>Ñiquén</t>
  </si>
  <si>
    <t>Ninhue</t>
  </si>
  <si>
    <t>Nacimiento</t>
  </si>
  <si>
    <t>Mulchén</t>
  </si>
  <si>
    <t>San Carlos</t>
  </si>
  <si>
    <t>Quillón</t>
  </si>
  <si>
    <t>Quilaco</t>
  </si>
  <si>
    <t>San Fabián</t>
  </si>
  <si>
    <t>Antuco</t>
  </si>
  <si>
    <t>Tirúa</t>
  </si>
  <si>
    <t>Los Álamos</t>
  </si>
  <si>
    <t>Coronel</t>
  </si>
  <si>
    <t>Coelemu</t>
  </si>
  <si>
    <t>Cobquecura</t>
  </si>
  <si>
    <t>Coihueco</t>
  </si>
  <si>
    <t>Cañete</t>
  </si>
  <si>
    <t>Lota</t>
  </si>
  <si>
    <t>Penco</t>
  </si>
  <si>
    <t>Trehuaco</t>
  </si>
  <si>
    <t>Pinto</t>
  </si>
  <si>
    <t>Tomé</t>
  </si>
  <si>
    <t>Lebu</t>
  </si>
  <si>
    <t>San Pedro de la Paz</t>
  </si>
  <si>
    <t>Talcahuano</t>
  </si>
  <si>
    <t>Alto Biobío</t>
  </si>
  <si>
    <t>Santa Bárbara</t>
  </si>
  <si>
    <t>Hualpén</t>
  </si>
  <si>
    <t>Traiguén</t>
  </si>
  <si>
    <t>Victoria</t>
  </si>
  <si>
    <t>Galvarino</t>
  </si>
  <si>
    <t>Perquenco</t>
  </si>
  <si>
    <t>Lautaro</t>
  </si>
  <si>
    <t>Temuco</t>
  </si>
  <si>
    <t>Padre las Casas</t>
  </si>
  <si>
    <t>Cunco</t>
  </si>
  <si>
    <t>Freire</t>
  </si>
  <si>
    <t>Pitrufquén</t>
  </si>
  <si>
    <t>Gorbea</t>
  </si>
  <si>
    <t>Villarrica</t>
  </si>
  <si>
    <t>Loncoche</t>
  </si>
  <si>
    <t>Los Sauces</t>
  </si>
  <si>
    <t>Purén</t>
  </si>
  <si>
    <t>Collipulli</t>
  </si>
  <si>
    <t>Lumaco</t>
  </si>
  <si>
    <t>Renaico</t>
  </si>
  <si>
    <t>Angol</t>
  </si>
  <si>
    <t>Vilcún</t>
  </si>
  <si>
    <t>Pucón</t>
  </si>
  <si>
    <t>Curacautín</t>
  </si>
  <si>
    <t>Lonquimay</t>
  </si>
  <si>
    <t>Melipeuco</t>
  </si>
  <si>
    <t>Toltén</t>
  </si>
  <si>
    <t>Saavedra</t>
  </si>
  <si>
    <t>Carahue</t>
  </si>
  <si>
    <t>Curarrehue</t>
  </si>
  <si>
    <t>Teodoro Schmidt</t>
  </si>
  <si>
    <t>Nueva Imperial</t>
  </si>
  <si>
    <t>Cholchol</t>
  </si>
  <si>
    <t>Lanco</t>
  </si>
  <si>
    <t>Máfil</t>
  </si>
  <si>
    <t>Paillaco</t>
  </si>
  <si>
    <t>Futrono</t>
  </si>
  <si>
    <t>Corral</t>
  </si>
  <si>
    <t>Mariquina</t>
  </si>
  <si>
    <t>Panguipulli</t>
  </si>
  <si>
    <t>Lago Ranco</t>
  </si>
  <si>
    <t>Río Bueno</t>
  </si>
  <si>
    <t>La Unión</t>
  </si>
  <si>
    <t>San Pablo</t>
  </si>
  <si>
    <t>Puerto Octay</t>
  </si>
  <si>
    <t>Frutillar</t>
  </si>
  <si>
    <t>Puyehue</t>
  </si>
  <si>
    <t>Futaleufú</t>
  </si>
  <si>
    <t>Queilén</t>
  </si>
  <si>
    <t>Quinchao</t>
  </si>
  <si>
    <t>Los Muermos</t>
  </si>
  <si>
    <t>Purranque</t>
  </si>
  <si>
    <t>San Juan de La Costa</t>
  </si>
  <si>
    <t>Puerto Varas</t>
  </si>
  <si>
    <t>Quellón</t>
  </si>
  <si>
    <t>Calbuco</t>
  </si>
  <si>
    <t>Dalcahue</t>
  </si>
  <si>
    <t>Fresia</t>
  </si>
  <si>
    <t>Quemchi</t>
  </si>
  <si>
    <t>Puerto Montt</t>
  </si>
  <si>
    <t>Río Negro</t>
  </si>
  <si>
    <t>Cochamó</t>
  </si>
  <si>
    <t>Puqueldón</t>
  </si>
  <si>
    <t>Curaco de Vélez</t>
  </si>
  <si>
    <t>Hualaihué</t>
  </si>
  <si>
    <t>Maullín</t>
  </si>
  <si>
    <t>Ancud</t>
  </si>
  <si>
    <t>Castro</t>
  </si>
  <si>
    <t>Chonchi</t>
  </si>
  <si>
    <t>Chaitén</t>
  </si>
  <si>
    <t>Lago Verde</t>
  </si>
  <si>
    <t>Río Ibáñez</t>
  </si>
  <si>
    <t>Cochrane</t>
  </si>
  <si>
    <t>Guaitecas</t>
  </si>
  <si>
    <t>Coyhaique</t>
  </si>
  <si>
    <t>Chile Chico</t>
  </si>
  <si>
    <t>Aysén</t>
  </si>
  <si>
    <t>Cisnes</t>
  </si>
  <si>
    <t>Tortel</t>
  </si>
  <si>
    <t>Ohiggins</t>
  </si>
  <si>
    <t>Torres del Paine</t>
  </si>
  <si>
    <t>Laguna Blanca</t>
  </si>
  <si>
    <t>Primavera</t>
  </si>
  <si>
    <t>Porvenir</t>
  </si>
  <si>
    <t>Punta Arenas</t>
  </si>
  <si>
    <t>Timaukel</t>
  </si>
  <si>
    <t>Cabo de Hornos</t>
  </si>
  <si>
    <t>Natales</t>
  </si>
  <si>
    <t>Río Verde</t>
  </si>
  <si>
    <t>Litueche</t>
  </si>
  <si>
    <t>Navidad</t>
  </si>
  <si>
    <t>Coinco</t>
  </si>
  <si>
    <t>Ercilla</t>
  </si>
  <si>
    <t>San Gregorio</t>
  </si>
  <si>
    <t>Juan Fernández</t>
  </si>
  <si>
    <t>Antártica</t>
  </si>
  <si>
    <t>Versión planilla y fecha</t>
  </si>
  <si>
    <t>Identificador único de la campaña de monitoreo. Se debe colocar el ID Campaña previamente definido en la hoja Campaña</t>
  </si>
  <si>
    <t>Identificador de la estación en la que se obtuvo el registro biológico. Se debe colocar un ID EstacionReplica previamente definido en la hoja EstacionReplica</t>
  </si>
  <si>
    <t>Repositorio de planillas</t>
  </si>
  <si>
    <t>Bosque nativo</t>
  </si>
  <si>
    <t>Ecosistema de bosque templado cálido de hoja caduca de invierno</t>
  </si>
  <si>
    <t>m</t>
  </si>
  <si>
    <t>Animalia</t>
  </si>
  <si>
    <t>Acanthocephala</t>
  </si>
  <si>
    <t>Hembra en celo</t>
  </si>
  <si>
    <t>Macho</t>
  </si>
  <si>
    <t>Juvenil</t>
  </si>
  <si>
    <t>Alimentándose</t>
  </si>
  <si>
    <t>Árbol</t>
  </si>
  <si>
    <t>Observación directa</t>
  </si>
  <si>
    <t>Área</t>
  </si>
  <si>
    <t>Presencia/ausencia</t>
  </si>
  <si>
    <t>Red surber</t>
  </si>
  <si>
    <t>Bosque plantación exóticas</t>
  </si>
  <si>
    <t>Ecosistema de bosque desértico caducifolio de sequía</t>
  </si>
  <si>
    <t>km</t>
  </si>
  <si>
    <t>Chromista</t>
  </si>
  <si>
    <t>Annelida</t>
  </si>
  <si>
    <t>Macho beligerante</t>
  </si>
  <si>
    <t>Hembra</t>
  </si>
  <si>
    <t>Adulto</t>
  </si>
  <si>
    <t>Cazando</t>
  </si>
  <si>
    <t>Arbusto</t>
  </si>
  <si>
    <t>Captura (directo)</t>
  </si>
  <si>
    <t>Cuadrante</t>
  </si>
  <si>
    <t>Abundancia</t>
  </si>
  <si>
    <t>Abundancia absoluta</t>
  </si>
  <si>
    <t xml:space="preserve">Arrastre de fondo </t>
  </si>
  <si>
    <t>Ecosistema de bosque templado-frío caducifolio de invierno</t>
  </si>
  <si>
    <t>m2</t>
  </si>
  <si>
    <t>Fungi</t>
  </si>
  <si>
    <t>Arthropoda</t>
  </si>
  <si>
    <t>Hembra preñada</t>
  </si>
  <si>
    <t>Hermafrodita</t>
  </si>
  <si>
    <t>Senescente</t>
  </si>
  <si>
    <t>Juego</t>
  </si>
  <si>
    <t>Hierba</t>
  </si>
  <si>
    <t>Monitoreo aéreo (directo)</t>
  </si>
  <si>
    <t>Transecto</t>
  </si>
  <si>
    <t>Biomasa</t>
  </si>
  <si>
    <t>Abundancia relativa</t>
  </si>
  <si>
    <t>Observación ad-hoc</t>
  </si>
  <si>
    <t>Ecosistemas acuáticos</t>
  </si>
  <si>
    <t>Ecosistemas forestales dominados por coníferas</t>
  </si>
  <si>
    <t>Plantae</t>
  </si>
  <si>
    <t>Brachiopoda</t>
  </si>
  <si>
    <t>Hembra con crías</t>
  </si>
  <si>
    <t>Sin dimorfismo observable</t>
  </si>
  <si>
    <t>Reposando</t>
  </si>
  <si>
    <t>Roseta</t>
  </si>
  <si>
    <t>Parcela</t>
  </si>
  <si>
    <t>Cobertura</t>
  </si>
  <si>
    <t>Punto de conteo</t>
  </si>
  <si>
    <t>Ecosistemas desérticos</t>
  </si>
  <si>
    <t>Ecosistema de bosque esclerófilo de hoja ancha</t>
  </si>
  <si>
    <t>Protozoa</t>
  </si>
  <si>
    <t>Bryozoa</t>
  </si>
  <si>
    <t>Macho con crías</t>
  </si>
  <si>
    <t xml:space="preserve">No registrada </t>
  </si>
  <si>
    <t>Larva</t>
  </si>
  <si>
    <t>Domesticado</t>
  </si>
  <si>
    <t>Rastrera</t>
  </si>
  <si>
    <t>Registro cámaras trampa</t>
  </si>
  <si>
    <t>Registro individual</t>
  </si>
  <si>
    <t>Anillamiento</t>
  </si>
  <si>
    <t>Ecosistemas costeros u oceánicos</t>
  </si>
  <si>
    <t>Ecosistema de bosque subantártico de hoja ancha</t>
  </si>
  <si>
    <t>Chaetognatha</t>
  </si>
  <si>
    <t>Hembra empollando</t>
  </si>
  <si>
    <t>Ninfa</t>
  </si>
  <si>
    <t>En vigilia</t>
  </si>
  <si>
    <t>Trepadora</t>
  </si>
  <si>
    <t>Registro auditivo</t>
  </si>
  <si>
    <t>Transecta</t>
  </si>
  <si>
    <t xml:space="preserve">Ecosistemas cordilleranos </t>
  </si>
  <si>
    <t>Bosque latifoliado templado-cálido</t>
  </si>
  <si>
    <t>Chordata</t>
  </si>
  <si>
    <t>Macho empollando</t>
  </si>
  <si>
    <t>Pupa</t>
  </si>
  <si>
    <t>En época reproductiva</t>
  </si>
  <si>
    <t>Epífita</t>
  </si>
  <si>
    <t>Registro de heces</t>
  </si>
  <si>
    <t>Trampas Sherman</t>
  </si>
  <si>
    <t>Alta montaña (sobre línea arbórea)</t>
  </si>
  <si>
    <t>Bosque latifoliado templado-frío</t>
  </si>
  <si>
    <t>Cnidaria</t>
  </si>
  <si>
    <t>Imago</t>
  </si>
  <si>
    <t>En cortejo</t>
  </si>
  <si>
    <t>Cojín</t>
  </si>
  <si>
    <t>Registro de egagrópilas</t>
  </si>
  <si>
    <t xml:space="preserve">Densidad absoluta </t>
  </si>
  <si>
    <t>Red niebla</t>
  </si>
  <si>
    <t>Afloramientos rocosos</t>
  </si>
  <si>
    <t>Ecosistemas urbanos</t>
  </si>
  <si>
    <t>Ctenophora</t>
  </si>
  <si>
    <t>Crecimiento vegetativo</t>
  </si>
  <si>
    <t xml:space="preserve">En competencia </t>
  </si>
  <si>
    <t>Alfombra</t>
  </si>
  <si>
    <t>Registro de rastrojos</t>
  </si>
  <si>
    <t>Densidad relativa</t>
  </si>
  <si>
    <t>Harp traps</t>
  </si>
  <si>
    <t>Praderas</t>
  </si>
  <si>
    <t>Dicyemida</t>
  </si>
  <si>
    <t>Fase gametofítica</t>
  </si>
  <si>
    <t>Gigante</t>
  </si>
  <si>
    <t>Registro de huellas</t>
  </si>
  <si>
    <t>Frecuencia absoluta</t>
  </si>
  <si>
    <t>Trips lines</t>
  </si>
  <si>
    <t>Matorrales</t>
  </si>
  <si>
    <t>Desierto absoluto</t>
  </si>
  <si>
    <t>Echinodermata</t>
  </si>
  <si>
    <t>Fase esporofítica</t>
  </si>
  <si>
    <t>Enano</t>
  </si>
  <si>
    <t>Registro de osamentas</t>
  </si>
  <si>
    <t xml:space="preserve">Frecuencia relativa </t>
  </si>
  <si>
    <t>Detección de ecolocalizaciones</t>
  </si>
  <si>
    <t>Dunas</t>
  </si>
  <si>
    <t>Ecosistema desértico de baja elevación</t>
  </si>
  <si>
    <t>Gastrotricha</t>
  </si>
  <si>
    <t>Con flores</t>
  </si>
  <si>
    <t>Registro de nidos o madrigueras</t>
  </si>
  <si>
    <t>Trampas cámara</t>
  </si>
  <si>
    <t>Humedales</t>
  </si>
  <si>
    <t>Ecosistema del desierto andino por encima de la línea de árboles</t>
  </si>
  <si>
    <t>Hemichordata</t>
  </si>
  <si>
    <t>Con frutos</t>
  </si>
  <si>
    <t>Trampas de pelo</t>
  </si>
  <si>
    <t>Ecosistemas agropastoriles de uso intensivo</t>
  </si>
  <si>
    <t>Con soros</t>
  </si>
  <si>
    <t>Herbácea (COT)</t>
  </si>
  <si>
    <t>Líneas de atracción olfativa</t>
  </si>
  <si>
    <t>Ecosistemas dominados por suculentas</t>
  </si>
  <si>
    <t>Kinorhyncha</t>
  </si>
  <si>
    <t>Con conos</t>
  </si>
  <si>
    <t>Leñosas bajas (COT)</t>
  </si>
  <si>
    <t>Análisis de dieta o ADN</t>
  </si>
  <si>
    <t>Glaciares</t>
  </si>
  <si>
    <t>Loricifera</t>
  </si>
  <si>
    <t>Propagación por estolones</t>
  </si>
  <si>
    <t>Leñosas altas (COT)</t>
  </si>
  <si>
    <t>Radio telemetría y telemetría satelital</t>
  </si>
  <si>
    <t>Ecosistemas dominados por especies invasoras</t>
  </si>
  <si>
    <t>Micrognathozoa</t>
  </si>
  <si>
    <t xml:space="preserve">Propagación por yemas </t>
  </si>
  <si>
    <t>Suculentas, cactáceas y bromeliaceae (COT)</t>
  </si>
  <si>
    <t>Spotlighting</t>
  </si>
  <si>
    <t>Plantaciones de coníferas</t>
  </si>
  <si>
    <t>Mollusca</t>
  </si>
  <si>
    <t>Fructificando</t>
  </si>
  <si>
    <t>Punto de aves</t>
  </si>
  <si>
    <t>Plantaciones de hoja ancha</t>
  </si>
  <si>
    <t>Nematoda</t>
  </si>
  <si>
    <t>No registrada</t>
  </si>
  <si>
    <t>Transecta para aves</t>
  </si>
  <si>
    <t>Ecosistemas sobre coladas de lava, rocas volcánicas y cenizas</t>
  </si>
  <si>
    <t>Nematomorpha</t>
  </si>
  <si>
    <t>Play back</t>
  </si>
  <si>
    <t>Ecosistemas temáticos</t>
  </si>
  <si>
    <t>Nemertea</t>
  </si>
  <si>
    <t xml:space="preserve">Medición de tránsito aéreo </t>
  </si>
  <si>
    <t>Estepa andina del altiplano</t>
  </si>
  <si>
    <t>Onychophora</t>
  </si>
  <si>
    <t>Vara lazo</t>
  </si>
  <si>
    <t>Estepa andina de Chile central</t>
  </si>
  <si>
    <t>Orthonectida</t>
  </si>
  <si>
    <t>Trampas embudo</t>
  </si>
  <si>
    <t>Estepa patagónica</t>
  </si>
  <si>
    <t>Phoronida</t>
  </si>
  <si>
    <t>Headtorching</t>
  </si>
  <si>
    <t>Matorral caducifolio de sequía</t>
  </si>
  <si>
    <t>Placozoa</t>
  </si>
  <si>
    <t>Trampas tipo Tomahawk</t>
  </si>
  <si>
    <t>Matorrales de hoja perenne con hojas macrófilas</t>
  </si>
  <si>
    <t>Platyhelminthes</t>
  </si>
  <si>
    <t>Trampa de pozo o pitfall</t>
  </si>
  <si>
    <t>Exfoliante de hoja perenne con hojas micrófilas</t>
  </si>
  <si>
    <t>Porifera</t>
  </si>
  <si>
    <t>Red entomológica</t>
  </si>
  <si>
    <t>Complejos Industriales-Mineros</t>
  </si>
  <si>
    <t>Priapulida</t>
  </si>
  <si>
    <t>Trampas Barber sin atrayente</t>
  </si>
  <si>
    <t>Ecosistema de dunas de arena</t>
  </si>
  <si>
    <t>Rotifera</t>
  </si>
  <si>
    <t>Sabanilla o paraguas</t>
  </si>
  <si>
    <t>Ecosistema salar</t>
  </si>
  <si>
    <t>Sipuncula</t>
  </si>
  <si>
    <t>Trampa de luz</t>
  </si>
  <si>
    <t>Áreas no identificadas</t>
  </si>
  <si>
    <t>Tardigrada</t>
  </si>
  <si>
    <t>Xenacoelomorpha</t>
  </si>
  <si>
    <t>Ascomycota</t>
  </si>
  <si>
    <t>Basidiomycota</t>
  </si>
  <si>
    <t>Blastocladiomycota</t>
  </si>
  <si>
    <t>Chytridiomycota</t>
  </si>
  <si>
    <t>Entomophthoromycota</t>
  </si>
  <si>
    <t>Glomeromycota</t>
  </si>
  <si>
    <t>Zygomycota</t>
  </si>
  <si>
    <t>Anthocerotophyta</t>
  </si>
  <si>
    <t>Bryophyta</t>
  </si>
  <si>
    <t>Charophyta</t>
  </si>
  <si>
    <t>Chlorophyta</t>
  </si>
  <si>
    <t>Glaucophyta</t>
  </si>
  <si>
    <t>Marchantiophyta</t>
  </si>
  <si>
    <t>Rhodophyta</t>
  </si>
  <si>
    <t>Tracheophyta</t>
  </si>
  <si>
    <t>Amoebozoa</t>
  </si>
  <si>
    <t>Calcitarcha</t>
  </si>
  <si>
    <t>Choanozoa</t>
  </si>
  <si>
    <t>Euglenozoa</t>
  </si>
  <si>
    <t>Loukozoa</t>
  </si>
  <si>
    <t>Metamonada</t>
  </si>
  <si>
    <t>Microsporidia</t>
  </si>
  <si>
    <t>Vivo</t>
  </si>
  <si>
    <t>Muerto</t>
  </si>
  <si>
    <t>Dañado</t>
  </si>
  <si>
    <t>Indeterminado</t>
  </si>
  <si>
    <t>Áreas intervenidas</t>
  </si>
  <si>
    <t>ValidacionDatos</t>
  </si>
  <si>
    <t xml:space="preserve">Hoja informativa (no debe ser modificada) sobre las variables que tienen validaciones de valores reportados, útil para evitar múltiples escrituras para el mismo estado representado. Esta hoja, a diferencia de las anteriores, se debe leer no como una tabla sino como un conjunto de columnas independientes. </t>
  </si>
  <si>
    <t>Lista de datos válidos por variable. Las columnas en negrita y subrayadas son validaciones estrictas, es decir, no acepta otro valores que los detallados.</t>
  </si>
  <si>
    <t>Validación de datos</t>
  </si>
  <si>
    <t>Exposición</t>
  </si>
  <si>
    <t>Norte | Sur | Este | Oeste | NE | NO | SE | SO</t>
  </si>
  <si>
    <t>Norte</t>
  </si>
  <si>
    <t>Sur</t>
  </si>
  <si>
    <t>Este</t>
  </si>
  <si>
    <t>Oeste</t>
  </si>
  <si>
    <t>NE</t>
  </si>
  <si>
    <t>NO</t>
  </si>
  <si>
    <t>SE</t>
  </si>
  <si>
    <t>SO</t>
  </si>
  <si>
    <t>Es la dirección de brújula (N,S,E,O) hacia la cual se encuentra una superficie o ladera. Sirve para explicar las especies que se encuentran en una estación determinada. Poner la exposición predominante de la EstacionReplica</t>
  </si>
  <si>
    <t>Cobertura absoluta</t>
  </si>
  <si>
    <t>Cobertura relativa</t>
  </si>
  <si>
    <t>lt</t>
  </si>
  <si>
    <t>No aplica</t>
  </si>
  <si>
    <t>Kamptozoa</t>
  </si>
  <si>
    <t>Mycetozoa</t>
  </si>
  <si>
    <t>Sarcomastigophora</t>
  </si>
  <si>
    <t>Sulcozoa</t>
  </si>
  <si>
    <t>Acavomonidia</t>
  </si>
  <si>
    <t>Bigyra</t>
  </si>
  <si>
    <t>Cercozoa</t>
  </si>
  <si>
    <t>Ciliophora</t>
  </si>
  <si>
    <t>Cryptophyta</t>
  </si>
  <si>
    <t>Foraminifera</t>
  </si>
  <si>
    <t>Haptophyta</t>
  </si>
  <si>
    <t>Heliozoa</t>
  </si>
  <si>
    <t>Myzozoa</t>
  </si>
  <si>
    <t>Ochrophyta</t>
  </si>
  <si>
    <t>Oomycota</t>
  </si>
  <si>
    <t>Picozoa</t>
  </si>
  <si>
    <t>Radiozoa</t>
  </si>
  <si>
    <t>Capturas con varas lazo, con malla y manualmente.</t>
  </si>
  <si>
    <t>Detección visual de ejemplares de cualquiera de las especies foco.</t>
  </si>
  <si>
    <t>Instalación diaria de trampas tomahawk de doble entrada en zonas rocosas, 7 horas cada trampa.</t>
  </si>
  <si>
    <t>Código individuo</t>
  </si>
  <si>
    <t>1 | 2 | 3 | Placa33 | A123 | ID3388</t>
  </si>
  <si>
    <t>ha</t>
  </si>
  <si>
    <t>La siguiente tabla muestra las definiciones de todos los campos a ser completados en la presente planilla. Se categoriza según hoja y nombre de campo de modo que facilite la interpretación y llenado de cada campo en particular mediante la definición, tipo de dato y ejemplos. 
Notas:
- En la columna de ejemplos, el símbolo "|" se refiere a filas diferentes. NO colocar en una misma celda
- Los números decimales se ejemplifican con "coma" pero Ud. Utilice la configuración propia de decimales (coma o punto) que tenga definido en su propio computador</t>
  </si>
  <si>
    <t>Código numérico o texto para identificar el individuo monitoreado. Pretende facilitar el remuestreo del mismo individuo o grupo con fines de monitoreo, rescate y relocalización. Se debe procurar que este código sea coherente entre diferentes informes entregados en el tiempo, es decir, que, por ejemplo, el individuo "Placa33" se refiera al mismo individuo en todos los reportes.</t>
  </si>
  <si>
    <t>Lycopodiophyta</t>
  </si>
  <si>
    <t>Magnoliophyta</t>
  </si>
  <si>
    <t>Pinophyta</t>
  </si>
  <si>
    <t>Psilophyta</t>
  </si>
  <si>
    <t>Pteridophyta</t>
  </si>
  <si>
    <t>Censo</t>
  </si>
  <si>
    <t>Intersección de puntos</t>
  </si>
  <si>
    <t>Recorrido pedestre</t>
  </si>
  <si>
    <t>Ecosistemas marinos</t>
  </si>
  <si>
    <t>Ecosistemas lacustres</t>
  </si>
  <si>
    <t>Ecosistemas ribereños</t>
  </si>
  <si>
    <t>Ecosistema estuarinos</t>
  </si>
  <si>
    <t>Ecosistemas intermareales</t>
  </si>
  <si>
    <t>Plano</t>
  </si>
  <si>
    <t>No Aplica</t>
  </si>
  <si>
    <t>Pesca eléctrica</t>
  </si>
  <si>
    <t>Observación de tránsito aéreo</t>
  </si>
  <si>
    <t>Botella Nansen</t>
  </si>
  <si>
    <t>Botella Niskin</t>
  </si>
  <si>
    <t>Colección de frutos</t>
  </si>
  <si>
    <t>Colección de semillas</t>
  </si>
  <si>
    <t>Draga Van Veen</t>
  </si>
  <si>
    <t>Red de Plancton</t>
  </si>
  <si>
    <t>Corer</t>
  </si>
  <si>
    <t>mm3</t>
  </si>
  <si>
    <t>cm3</t>
  </si>
  <si>
    <t>m3</t>
  </si>
  <si>
    <t>mm2</t>
  </si>
  <si>
    <t>Bacteria</t>
  </si>
  <si>
    <t>Abtitibacteriota</t>
  </si>
  <si>
    <t>Acidobacteriota</t>
  </si>
  <si>
    <t>Actinomycetota</t>
  </si>
  <si>
    <t>Aquificota</t>
  </si>
  <si>
    <t>Armatimonadota</t>
  </si>
  <si>
    <t>Atribacterota</t>
  </si>
  <si>
    <t>Bacillota</t>
  </si>
  <si>
    <t>Bacteroidota</t>
  </si>
  <si>
    <t>Balneolota</t>
  </si>
  <si>
    <t>Bdellovibrionota</t>
  </si>
  <si>
    <t>Caldisericota</t>
  </si>
  <si>
    <t>Calditrichota</t>
  </si>
  <si>
    <t>Campylobacterota</t>
  </si>
  <si>
    <t>Chlamydiota</t>
  </si>
  <si>
    <t>Chlorobiota</t>
  </si>
  <si>
    <t>Chloroflexota</t>
  </si>
  <si>
    <t>Chrysiogenota</t>
  </si>
  <si>
    <t>Coprothermobacterota</t>
  </si>
  <si>
    <t>Cyanobacteriota</t>
  </si>
  <si>
    <t>Deferribacterota</t>
  </si>
  <si>
    <t>Deinococcota</t>
  </si>
  <si>
    <t>Dictyoglomerota</t>
  </si>
  <si>
    <t>Dictyoglomota</t>
  </si>
  <si>
    <t>Elusimicrobiota</t>
  </si>
  <si>
    <t>Fibrobacterota</t>
  </si>
  <si>
    <t>Fusobacteriota</t>
  </si>
  <si>
    <t>Gemmatimonadota</t>
  </si>
  <si>
    <t>Kiritimatiellota</t>
  </si>
  <si>
    <t>Lentisphaerota</t>
  </si>
  <si>
    <t>Mycoplasmatota</t>
  </si>
  <si>
    <t>Nitrospinota</t>
  </si>
  <si>
    <t>Nitrospirota</t>
  </si>
  <si>
    <t>Planctomycetota</t>
  </si>
  <si>
    <t>Protophyta</t>
  </si>
  <si>
    <t>Pseudomonadota</t>
  </si>
  <si>
    <t>Rhodothermota</t>
  </si>
  <si>
    <t>Spirochaetota</t>
  </si>
  <si>
    <t>Synergistota</t>
  </si>
  <si>
    <t>Thermodesulfobacteriota</t>
  </si>
  <si>
    <t>Thermomicrobiota</t>
  </si>
  <si>
    <t>Thermotogota</t>
  </si>
  <si>
    <t>Verrucomicrobiota</t>
  </si>
  <si>
    <t>Peso seco</t>
  </si>
  <si>
    <t>Peso humedo</t>
  </si>
  <si>
    <t>Vuelo en dirección N</t>
  </si>
  <si>
    <t>Vuelo en dirección S</t>
  </si>
  <si>
    <t>Vuelo en dirección E</t>
  </si>
  <si>
    <t>Vuelo en dirección O</t>
  </si>
  <si>
    <t>Vuelo en dirección NE</t>
  </si>
  <si>
    <t>Vuelo en dirección NO</t>
  </si>
  <si>
    <t>Vuelo en dirección SE</t>
  </si>
  <si>
    <t>Vuelo en dirección SO</t>
  </si>
  <si>
    <t>Presencia = 1/Ausencia = 0</t>
  </si>
  <si>
    <t>%</t>
  </si>
  <si>
    <t>Individuos</t>
  </si>
  <si>
    <t>Individuos/mm2</t>
  </si>
  <si>
    <t>Individuos/cm2</t>
  </si>
  <si>
    <t>Individuos/m2</t>
  </si>
  <si>
    <t>Individuos/km2</t>
  </si>
  <si>
    <t>Individuos/ha</t>
  </si>
  <si>
    <t>Individuos/mm3</t>
  </si>
  <si>
    <t>Individuos/cm3</t>
  </si>
  <si>
    <t>Individuos/m3</t>
  </si>
  <si>
    <t>Individuos/ml</t>
  </si>
  <si>
    <t>Individuos/l</t>
  </si>
  <si>
    <t>Celulas</t>
  </si>
  <si>
    <t>Celulas/mm2</t>
  </si>
  <si>
    <t>Celulas/cm2</t>
  </si>
  <si>
    <t>Celulas/mm3</t>
  </si>
  <si>
    <t>Celulas/cm3</t>
  </si>
  <si>
    <t>Celulas/m3</t>
  </si>
  <si>
    <t>Celulas/ml</t>
  </si>
  <si>
    <t>Celulas/l</t>
  </si>
  <si>
    <t>mg</t>
  </si>
  <si>
    <t>g</t>
  </si>
  <si>
    <t>kg</t>
  </si>
  <si>
    <t>mg/mm2</t>
  </si>
  <si>
    <t>mg/cm2</t>
  </si>
  <si>
    <t>mg/m2</t>
  </si>
  <si>
    <t>g/cm2</t>
  </si>
  <si>
    <t>g/m2</t>
  </si>
  <si>
    <t>g/km2</t>
  </si>
  <si>
    <t>g/ha</t>
  </si>
  <si>
    <t>kg/m2</t>
  </si>
  <si>
    <t>kg/km2</t>
  </si>
  <si>
    <t>kg/ha</t>
  </si>
  <si>
    <t>ton/ha</t>
  </si>
  <si>
    <t>mg/mm3</t>
  </si>
  <si>
    <t>mg/cm3</t>
  </si>
  <si>
    <t>mg/m3</t>
  </si>
  <si>
    <t>mg/ml</t>
  </si>
  <si>
    <t>mg/l</t>
  </si>
  <si>
    <t>g/cm3</t>
  </si>
  <si>
    <t>g/m3</t>
  </si>
  <si>
    <t>g/ml</t>
  </si>
  <si>
    <t>g/l</t>
  </si>
  <si>
    <t>kg/m3</t>
  </si>
  <si>
    <t>kg/l</t>
  </si>
  <si>
    <t>Colmenas</t>
  </si>
  <si>
    <t>Huevos</t>
  </si>
  <si>
    <t>Madrigueras</t>
  </si>
  <si>
    <t>Nidos</t>
  </si>
  <si>
    <t>v5.2 (05/12/2022)</t>
  </si>
  <si>
    <t>M.v5.2.2022.09.15</t>
  </si>
  <si>
    <t>Formato de reporte biodiversidad SMA - Monitoreo y Línea Base</t>
  </si>
  <si>
    <t>Braun-Blanquet</t>
  </si>
  <si>
    <t>km2</t>
  </si>
  <si>
    <t>Marga Marga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</si>
</sst>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36">
    <font>
      <sz val="11"/>
      <color rgb="FF000000"/>
      <name val="Calibri"/>
    </font>
    <font>
      <sz val="11"/>
      <color theme="1"/>
      <name val="Calibri"/>
      <family val="2"/>
      <scheme val="minor"/>
    </font>
    <font>
      <sz val="11"/>
      <color theme="1"/>
      <name val="Calibri"/>
      <family val="2"/>
      <scheme val="minor"/>
    </font>
    <font>
      <b/>
      <sz val="18"/>
      <color rgb="FF000000"/>
      <name val="Calibri"/>
      <family val="2"/>
    </font>
    <font>
      <b/>
      <sz val="11"/>
      <color rgb="FF000000"/>
      <name val="Calibri"/>
      <family val="2"/>
    </font>
    <font>
      <sz val="11"/>
      <color theme="1"/>
      <name val="Calibri"/>
      <family val="2"/>
    </font>
    <font>
      <b/>
      <sz val="11"/>
      <name val="Calibri"/>
      <family val="2"/>
    </font>
    <font>
      <sz val="11"/>
      <name val="Calibri"/>
      <family val="2"/>
    </font>
    <font>
      <sz val="11"/>
      <color rgb="FF000000"/>
      <name val="Calibri"/>
      <family val="2"/>
    </font>
    <font>
      <sz val="8"/>
      <name val="Calibri"/>
      <family val="2"/>
    </font>
    <font>
      <sz val="11"/>
      <name val="CG Times (W1)"/>
    </font>
    <font>
      <sz val="18"/>
      <color theme="3"/>
      <name val="Calibri"/>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font>
    <font>
      <b/>
      <sz val="11"/>
      <color rgb="FF000000"/>
      <name val="Calibri"/>
      <family val="2"/>
      <scheme val="minor"/>
    </font>
    <font>
      <sz val="11"/>
      <color rgb="FF000000"/>
      <name val="Calibri"/>
      <family val="2"/>
      <scheme val="minor"/>
    </font>
    <font>
      <sz val="11"/>
      <name val="Calibri"/>
      <family val="2"/>
      <scheme val="minor"/>
    </font>
    <font>
      <sz val="9"/>
      <color indexed="81"/>
      <name val="Tahoma"/>
      <family val="2"/>
    </font>
    <font>
      <i/>
      <sz val="11"/>
      <name val="Calibri"/>
      <family val="2"/>
      <scheme val="minor"/>
    </font>
    <font>
      <sz val="11"/>
      <color theme="1" tint="0.499984740745262"/>
      <name val="Calibri"/>
      <family val="2"/>
    </font>
    <font>
      <sz val="11"/>
      <color theme="0" tint="-0.499984740745262"/>
      <name val="Calibri"/>
      <family val="2"/>
    </font>
    <font>
      <b/>
      <u/>
      <sz val="11"/>
      <name val="Calibri"/>
      <family val="2"/>
    </font>
  </fonts>
  <fills count="40">
    <fill>
      <patternFill patternType="none"/>
    </fill>
    <fill>
      <patternFill patternType="gray125"/>
    </fill>
    <fill>
      <patternFill patternType="solid">
        <fgColor rgb="FFFFFFFF"/>
        <bgColor rgb="FFFFFFFF"/>
      </patternFill>
    </fill>
    <fill>
      <patternFill patternType="solid">
        <fgColor theme="7"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rgb="FFFFC000"/>
        <bgColor rgb="FF000000"/>
      </patternFill>
    </fill>
  </fills>
  <borders count="20">
    <border>
      <left/>
      <right/>
      <top/>
      <bottom/>
      <diagonal/>
    </border>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rgb="FF9BC2E6"/>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rgb="FF9BC2E6"/>
      </top>
      <bottom style="thin">
        <color rgb="FF9BC2E6"/>
      </bottom>
      <diagonal/>
    </border>
    <border>
      <left style="thin">
        <color indexed="64"/>
      </left>
      <right/>
      <top/>
      <bottom/>
      <diagonal/>
    </border>
  </borders>
  <cellStyleXfs count="46">
    <xf numFmtId="0" fontId="0" fillId="0" borderId="0"/>
    <xf numFmtId="0" fontId="10" fillId="0" borderId="1"/>
    <xf numFmtId="0" fontId="12" fillId="0" borderId="2" applyNumberFormat="0" applyFill="0" applyAlignment="0" applyProtection="0"/>
    <xf numFmtId="0" fontId="13" fillId="0" borderId="3" applyNumberFormat="0" applyFill="0" applyAlignment="0" applyProtection="0"/>
    <xf numFmtId="0" fontId="14" fillId="0" borderId="4" applyNumberFormat="0" applyFill="0" applyAlignment="0" applyProtection="0"/>
    <xf numFmtId="0" fontId="18" fillId="7" borderId="5" applyNumberFormat="0" applyAlignment="0" applyProtection="0"/>
    <xf numFmtId="0" fontId="19" fillId="8" borderId="6" applyNumberFormat="0" applyAlignment="0" applyProtection="0"/>
    <xf numFmtId="0" fontId="20" fillId="8" borderId="5" applyNumberFormat="0" applyAlignment="0" applyProtection="0"/>
    <xf numFmtId="0" fontId="21" fillId="0" borderId="7" applyNumberFormat="0" applyFill="0" applyAlignment="0" applyProtection="0"/>
    <xf numFmtId="0" fontId="22" fillId="9" borderId="8" applyNumberFormat="0" applyAlignment="0" applyProtection="0"/>
    <xf numFmtId="0" fontId="25" fillId="0" borderId="10" applyNumberFormat="0" applyFill="0" applyAlignment="0" applyProtection="0"/>
    <xf numFmtId="0" fontId="2" fillId="0" borderId="1"/>
    <xf numFmtId="0" fontId="11" fillId="0" borderId="1" applyNumberFormat="0" applyFill="0" applyBorder="0" applyAlignment="0" applyProtection="0"/>
    <xf numFmtId="0" fontId="14" fillId="0" borderId="1" applyNumberFormat="0" applyFill="0" applyBorder="0" applyAlignment="0" applyProtection="0"/>
    <xf numFmtId="0" fontId="15" fillId="4" borderId="1" applyNumberFormat="0" applyBorder="0" applyAlignment="0" applyProtection="0"/>
    <xf numFmtId="0" fontId="16" fillId="5" borderId="1" applyNumberFormat="0" applyBorder="0" applyAlignment="0" applyProtection="0"/>
    <xf numFmtId="0" fontId="17" fillId="6" borderId="1" applyNumberFormat="0" applyBorder="0" applyAlignment="0" applyProtection="0"/>
    <xf numFmtId="0" fontId="23" fillId="0" borderId="1" applyNumberFormat="0" applyFill="0" applyBorder="0" applyAlignment="0" applyProtection="0"/>
    <xf numFmtId="0" fontId="2" fillId="10" borderId="9" applyNumberFormat="0" applyFont="0" applyAlignment="0" applyProtection="0"/>
    <xf numFmtId="0" fontId="24" fillId="0" borderId="1" applyNumberFormat="0" applyFill="0" applyBorder="0" applyAlignment="0" applyProtection="0"/>
    <xf numFmtId="0" fontId="26" fillId="11" borderId="1" applyNumberFormat="0" applyBorder="0" applyAlignment="0" applyProtection="0"/>
    <xf numFmtId="0" fontId="2" fillId="12" borderId="1" applyNumberFormat="0" applyBorder="0" applyAlignment="0" applyProtection="0"/>
    <xf numFmtId="0" fontId="2" fillId="13" borderId="1" applyNumberFormat="0" applyBorder="0" applyAlignment="0" applyProtection="0"/>
    <xf numFmtId="0" fontId="2" fillId="14" borderId="1" applyNumberFormat="0" applyBorder="0" applyAlignment="0" applyProtection="0"/>
    <xf numFmtId="0" fontId="26" fillId="15" borderId="1" applyNumberFormat="0" applyBorder="0" applyAlignment="0" applyProtection="0"/>
    <xf numFmtId="0" fontId="2" fillId="16" borderId="1" applyNumberFormat="0" applyBorder="0" applyAlignment="0" applyProtection="0"/>
    <xf numFmtId="0" fontId="2" fillId="17" borderId="1" applyNumberFormat="0" applyBorder="0" applyAlignment="0" applyProtection="0"/>
    <xf numFmtId="0" fontId="2" fillId="18" borderId="1" applyNumberFormat="0" applyBorder="0" applyAlignment="0" applyProtection="0"/>
    <xf numFmtId="0" fontId="26" fillId="19" borderId="1" applyNumberFormat="0" applyBorder="0" applyAlignment="0" applyProtection="0"/>
    <xf numFmtId="0" fontId="2" fillId="20" borderId="1" applyNumberFormat="0" applyBorder="0" applyAlignment="0" applyProtection="0"/>
    <xf numFmtId="0" fontId="2" fillId="21" borderId="1" applyNumberFormat="0" applyBorder="0" applyAlignment="0" applyProtection="0"/>
    <xf numFmtId="0" fontId="2" fillId="22" borderId="1" applyNumberFormat="0" applyBorder="0" applyAlignment="0" applyProtection="0"/>
    <xf numFmtId="0" fontId="26" fillId="23" borderId="1" applyNumberFormat="0" applyBorder="0" applyAlignment="0" applyProtection="0"/>
    <xf numFmtId="0" fontId="2" fillId="24" borderId="1" applyNumberFormat="0" applyBorder="0" applyAlignment="0" applyProtection="0"/>
    <xf numFmtId="0" fontId="2" fillId="25" borderId="1" applyNumberFormat="0" applyBorder="0" applyAlignment="0" applyProtection="0"/>
    <xf numFmtId="0" fontId="2" fillId="26" borderId="1" applyNumberFormat="0" applyBorder="0" applyAlignment="0" applyProtection="0"/>
    <xf numFmtId="0" fontId="26" fillId="27" borderId="1" applyNumberFormat="0" applyBorder="0" applyAlignment="0" applyProtection="0"/>
    <xf numFmtId="0" fontId="2" fillId="28" borderId="1" applyNumberFormat="0" applyBorder="0" applyAlignment="0" applyProtection="0"/>
    <xf numFmtId="0" fontId="2" fillId="29" borderId="1" applyNumberFormat="0" applyBorder="0" applyAlignment="0" applyProtection="0"/>
    <xf numFmtId="0" fontId="2" fillId="30" borderId="1" applyNumberFormat="0" applyBorder="0" applyAlignment="0" applyProtection="0"/>
    <xf numFmtId="0" fontId="26" fillId="31" borderId="1" applyNumberFormat="0" applyBorder="0" applyAlignment="0" applyProtection="0"/>
    <xf numFmtId="0" fontId="2" fillId="32" borderId="1" applyNumberFormat="0" applyBorder="0" applyAlignment="0" applyProtection="0"/>
    <xf numFmtId="0" fontId="2" fillId="33" borderId="1" applyNumberFormat="0" applyBorder="0" applyAlignment="0" applyProtection="0"/>
    <xf numFmtId="0" fontId="2" fillId="34" borderId="1" applyNumberFormat="0" applyBorder="0" applyAlignment="0" applyProtection="0"/>
    <xf numFmtId="0" fontId="27" fillId="0" borderId="0" applyNumberFormat="0" applyFill="0" applyBorder="0" applyAlignment="0" applyProtection="0"/>
    <xf numFmtId="0" fontId="1" fillId="0" borderId="1"/>
  </cellStyleXfs>
  <cellXfs count="88">
    <xf numFmtId="0" fontId="0" fillId="0" borderId="0" xfId="0"/>
    <xf numFmtId="0" fontId="3" fillId="0" borderId="0" xfId="0" applyFont="1"/>
    <xf numFmtId="0" fontId="8" fillId="0" borderId="0" xfId="0" applyFont="1"/>
    <xf numFmtId="0" fontId="0" fillId="0" borderId="0" xfId="0" applyAlignment="1">
      <alignment wrapText="1"/>
    </xf>
    <xf numFmtId="0" fontId="8" fillId="0" borderId="0" xfId="0" applyFont="1" applyAlignment="1">
      <alignment wrapText="1"/>
    </xf>
    <xf numFmtId="0" fontId="29" fillId="0" borderId="0" xfId="0" applyFont="1" applyAlignment="1">
      <alignment wrapText="1"/>
    </xf>
    <xf numFmtId="0" fontId="30" fillId="0" borderId="0" xfId="0" applyFont="1" applyAlignment="1">
      <alignment horizontal="left" vertical="top" wrapText="1"/>
    </xf>
    <xf numFmtId="0" fontId="30" fillId="2" borderId="0" xfId="0" applyFont="1" applyFill="1" applyAlignment="1">
      <alignment horizontal="left" vertical="top" wrapText="1"/>
    </xf>
    <xf numFmtId="14" fontId="30" fillId="2" borderId="0" xfId="0" applyNumberFormat="1" applyFont="1" applyFill="1" applyAlignment="1">
      <alignment horizontal="left" vertical="top" wrapText="1"/>
    </xf>
    <xf numFmtId="0" fontId="30" fillId="0" borderId="0" xfId="0" applyFont="1"/>
    <xf numFmtId="0" fontId="28" fillId="35" borderId="0" xfId="0" applyFont="1" applyFill="1" applyAlignment="1">
      <alignment wrapText="1"/>
    </xf>
    <xf numFmtId="0" fontId="29" fillId="0" borderId="0" xfId="0" applyFont="1" applyAlignment="1">
      <alignment horizontal="left" wrapText="1"/>
    </xf>
    <xf numFmtId="0" fontId="4" fillId="35" borderId="0" xfId="0" applyFont="1" applyFill="1" applyAlignment="1">
      <alignment horizontal="center"/>
    </xf>
    <xf numFmtId="0" fontId="4" fillId="0" borderId="0" xfId="0" applyFont="1" applyAlignment="1">
      <alignment wrapText="1"/>
    </xf>
    <xf numFmtId="0" fontId="28" fillId="35" borderId="0" xfId="0" applyFont="1" applyFill="1" applyAlignment="1">
      <alignment horizontal="left" wrapText="1"/>
    </xf>
    <xf numFmtId="0" fontId="7" fillId="0" borderId="0" xfId="0" applyFont="1" applyProtection="1">
      <protection locked="0"/>
    </xf>
    <xf numFmtId="164" fontId="7" fillId="0" borderId="0" xfId="0" applyNumberFormat="1" applyFont="1" applyProtection="1">
      <protection locked="0"/>
    </xf>
    <xf numFmtId="0" fontId="8" fillId="0" borderId="0" xfId="0" applyFont="1" applyProtection="1">
      <protection locked="0"/>
    </xf>
    <xf numFmtId="0" fontId="7" fillId="0" borderId="0" xfId="0" applyFont="1" applyAlignment="1" applyProtection="1">
      <alignment horizontal="center"/>
      <protection locked="0"/>
    </xf>
    <xf numFmtId="0" fontId="8" fillId="0" borderId="0" xfId="0" applyFont="1" applyAlignment="1" applyProtection="1">
      <alignment horizontal="center"/>
      <protection locked="0"/>
    </xf>
    <xf numFmtId="164" fontId="0" fillId="0" borderId="0" xfId="0" applyNumberFormat="1" applyAlignment="1" applyProtection="1">
      <alignment horizontal="center"/>
      <protection locked="0"/>
    </xf>
    <xf numFmtId="0" fontId="6" fillId="37" borderId="1" xfId="0" applyFont="1" applyFill="1" applyBorder="1" applyAlignment="1">
      <alignment horizontal="left" wrapText="1"/>
    </xf>
    <xf numFmtId="0" fontId="7" fillId="3" borderId="0" xfId="0" applyFont="1" applyFill="1" applyAlignment="1">
      <alignment horizontal="center" wrapText="1"/>
    </xf>
    <xf numFmtId="0" fontId="29" fillId="0" borderId="1" xfId="0" applyFont="1" applyBorder="1" applyAlignment="1">
      <alignment wrapText="1"/>
    </xf>
    <xf numFmtId="1" fontId="5" fillId="0" borderId="0" xfId="0" applyNumberFormat="1" applyFont="1" applyAlignment="1">
      <alignment wrapText="1"/>
    </xf>
    <xf numFmtId="0" fontId="0" fillId="0" borderId="0" xfId="0" applyProtection="1">
      <protection locked="0"/>
    </xf>
    <xf numFmtId="0" fontId="7" fillId="0" borderId="0" xfId="0" applyFont="1" applyAlignment="1" applyProtection="1">
      <alignment wrapText="1"/>
      <protection locked="0"/>
    </xf>
    <xf numFmtId="0" fontId="8" fillId="0" borderId="0" xfId="0" applyFont="1" applyAlignment="1" applyProtection="1">
      <alignment wrapText="1"/>
      <protection locked="0"/>
    </xf>
    <xf numFmtId="0" fontId="8" fillId="0" borderId="0" xfId="0" applyFont="1" applyAlignment="1">
      <alignment vertical="top" wrapText="1"/>
    </xf>
    <xf numFmtId="0" fontId="0" fillId="0" borderId="1" xfId="0" applyBorder="1"/>
    <xf numFmtId="49" fontId="29" fillId="0" borderId="0" xfId="0" applyNumberFormat="1" applyFont="1" applyAlignment="1">
      <alignment horizontal="left" wrapText="1"/>
    </xf>
    <xf numFmtId="0" fontId="8" fillId="0" borderId="0" xfId="0" applyFont="1" applyAlignment="1" applyProtection="1">
      <alignment horizontal="left"/>
      <protection locked="0"/>
    </xf>
    <xf numFmtId="0" fontId="7" fillId="0" borderId="0" xfId="0" applyFont="1" applyAlignment="1" applyProtection="1">
      <alignment horizontal="left"/>
      <protection locked="0"/>
    </xf>
    <xf numFmtId="0" fontId="30" fillId="0" borderId="0" xfId="0" applyFont="1" applyAlignment="1">
      <alignment wrapText="1"/>
    </xf>
    <xf numFmtId="0" fontId="4" fillId="35" borderId="0" xfId="0" applyFont="1" applyFill="1" applyAlignment="1">
      <alignment horizontal="center" wrapText="1"/>
    </xf>
    <xf numFmtId="49" fontId="29" fillId="0" borderId="0" xfId="0" quotePrefix="1" applyNumberFormat="1" applyFont="1" applyAlignment="1">
      <alignment horizontal="left" wrapText="1"/>
    </xf>
    <xf numFmtId="0" fontId="27" fillId="0" borderId="1" xfId="44" applyFill="1" applyBorder="1"/>
    <xf numFmtId="0" fontId="27" fillId="0" borderId="0" xfId="44" applyFill="1"/>
    <xf numFmtId="0" fontId="7" fillId="0" borderId="0" xfId="0" applyFont="1"/>
    <xf numFmtId="0" fontId="7" fillId="36" borderId="16" xfId="0" applyFont="1" applyFill="1" applyBorder="1" applyAlignment="1">
      <alignment wrapText="1"/>
    </xf>
    <xf numFmtId="17" fontId="0" fillId="0" borderId="0" xfId="0" applyNumberFormat="1" applyProtection="1">
      <protection locked="0"/>
    </xf>
    <xf numFmtId="0" fontId="0" fillId="0" borderId="0" xfId="0" applyAlignment="1" applyProtection="1">
      <alignment wrapText="1"/>
      <protection locked="0"/>
    </xf>
    <xf numFmtId="0" fontId="8" fillId="0" borderId="0" xfId="0" applyFont="1" applyAlignment="1">
      <alignment horizontal="left"/>
    </xf>
    <xf numFmtId="0" fontId="34" fillId="0" borderId="0" xfId="0" applyFont="1"/>
    <xf numFmtId="0" fontId="5" fillId="0" borderId="0" xfId="0" applyFont="1"/>
    <xf numFmtId="0" fontId="5" fillId="0" borderId="16" xfId="0" applyFont="1" applyBorder="1"/>
    <xf numFmtId="0" fontId="35" fillId="36" borderId="16" xfId="0" applyFont="1" applyFill="1" applyBorder="1" applyAlignment="1">
      <alignment wrapText="1"/>
    </xf>
    <xf numFmtId="0" fontId="35" fillId="3" borderId="0" xfId="0" applyFont="1" applyFill="1" applyAlignment="1">
      <alignment horizontal="center" wrapText="1"/>
    </xf>
    <xf numFmtId="0" fontId="35" fillId="0" borderId="0" xfId="0" applyFont="1" applyAlignment="1">
      <alignment horizontal="center" wrapText="1"/>
    </xf>
    <xf numFmtId="0" fontId="8" fillId="0" borderId="0" xfId="0" applyFont="1" applyAlignment="1">
      <alignment vertical="top"/>
    </xf>
    <xf numFmtId="0" fontId="30" fillId="0" borderId="0" xfId="0" applyFont="1" applyAlignment="1">
      <alignment horizontal="left" wrapText="1"/>
    </xf>
    <xf numFmtId="0" fontId="6" fillId="3" borderId="0" xfId="0" applyFont="1" applyFill="1" applyAlignment="1">
      <alignment horizontal="left" wrapText="1"/>
    </xf>
    <xf numFmtId="0" fontId="7" fillId="3" borderId="0" xfId="0" applyFont="1" applyFill="1" applyAlignment="1">
      <alignment wrapText="1"/>
    </xf>
    <xf numFmtId="0" fontId="7" fillId="3" borderId="0" xfId="0" applyFont="1" applyFill="1" applyAlignment="1">
      <alignment horizontal="left"/>
    </xf>
    <xf numFmtId="164" fontId="7" fillId="3" borderId="0" xfId="0" applyNumberFormat="1" applyFont="1" applyFill="1" applyAlignment="1">
      <alignment wrapText="1"/>
    </xf>
    <xf numFmtId="0" fontId="7" fillId="37" borderId="11" xfId="0" applyFont="1" applyFill="1" applyBorder="1" applyAlignment="1">
      <alignment horizontal="left" wrapText="1"/>
    </xf>
    <xf numFmtId="0" fontId="33" fillId="0" borderId="0" xfId="0" applyFont="1" applyAlignment="1">
      <alignment wrapText="1"/>
    </xf>
    <xf numFmtId="0" fontId="7" fillId="36" borderId="19" xfId="0" applyFont="1" applyFill="1" applyBorder="1"/>
    <xf numFmtId="0" fontId="7" fillId="0" borderId="13" xfId="0" applyFont="1" applyBorder="1"/>
    <xf numFmtId="0" fontId="7" fillId="0" borderId="14" xfId="0" applyFont="1" applyBorder="1"/>
    <xf numFmtId="0" fontId="7" fillId="36" borderId="12" xfId="0" applyFont="1" applyFill="1" applyBorder="1" applyAlignment="1">
      <alignment vertical="center"/>
    </xf>
    <xf numFmtId="0" fontId="7" fillId="0" borderId="13" xfId="0" applyFont="1" applyBorder="1" applyAlignment="1">
      <alignment vertical="center"/>
    </xf>
    <xf numFmtId="0" fontId="7" fillId="36" borderId="12" xfId="0" applyFont="1" applyFill="1" applyBorder="1"/>
    <xf numFmtId="0" fontId="7" fillId="0" borderId="1" xfId="0" applyFont="1" applyBorder="1" applyAlignment="1">
      <alignment horizontal="left" wrapText="1"/>
    </xf>
    <xf numFmtId="0" fontId="7" fillId="0" borderId="1" xfId="0" applyFont="1" applyBorder="1"/>
    <xf numFmtId="0" fontId="34" fillId="37" borderId="1" xfId="0" applyFont="1" applyFill="1" applyBorder="1" applyAlignment="1">
      <alignment horizontal="left" wrapText="1"/>
    </xf>
    <xf numFmtId="14" fontId="6" fillId="3" borderId="1" xfId="0" applyNumberFormat="1" applyFont="1" applyFill="1" applyBorder="1" applyAlignment="1">
      <alignment horizontal="left" wrapText="1"/>
    </xf>
    <xf numFmtId="0" fontId="33" fillId="3" borderId="0" xfId="0" applyFont="1" applyFill="1" applyAlignment="1">
      <alignment wrapText="1"/>
    </xf>
    <xf numFmtId="0" fontId="7" fillId="36" borderId="19" xfId="0" applyFont="1" applyFill="1" applyBorder="1" applyAlignment="1">
      <alignment wrapText="1"/>
    </xf>
    <xf numFmtId="0" fontId="7" fillId="36" borderId="17" xfId="0" applyFont="1" applyFill="1" applyBorder="1" applyAlignment="1">
      <alignment wrapText="1"/>
    </xf>
    <xf numFmtId="0" fontId="7" fillId="36" borderId="15" xfId="0" applyFont="1" applyFill="1" applyBorder="1" applyAlignment="1">
      <alignment horizontal="left" wrapText="1"/>
    </xf>
    <xf numFmtId="0" fontId="7" fillId="36" borderId="16" xfId="0" applyFont="1" applyFill="1" applyBorder="1" applyAlignment="1">
      <alignment horizontal="left" wrapText="1"/>
    </xf>
    <xf numFmtId="0" fontId="7" fillId="36" borderId="1" xfId="0" applyFont="1" applyFill="1" applyBorder="1" applyAlignment="1">
      <alignment horizontal="left" wrapText="1"/>
    </xf>
    <xf numFmtId="0" fontId="7" fillId="36" borderId="17" xfId="0" applyFont="1" applyFill="1" applyBorder="1" applyAlignment="1">
      <alignment horizontal="left" wrapText="1"/>
    </xf>
    <xf numFmtId="0" fontId="7" fillId="36" borderId="0" xfId="0" applyFont="1" applyFill="1" applyAlignment="1">
      <alignment horizontal="left" wrapText="1"/>
    </xf>
    <xf numFmtId="0" fontId="6" fillId="37" borderId="11" xfId="0" applyFont="1" applyFill="1" applyBorder="1" applyAlignment="1">
      <alignment horizontal="left" wrapText="1"/>
    </xf>
    <xf numFmtId="0" fontId="1" fillId="0" borderId="0" xfId="0" applyFont="1"/>
    <xf numFmtId="0" fontId="1" fillId="0" borderId="16" xfId="0" applyFont="1" applyBorder="1"/>
    <xf numFmtId="0" fontId="1" fillId="0" borderId="1" xfId="0" applyFont="1" applyBorder="1"/>
    <xf numFmtId="0" fontId="1" fillId="38" borderId="1" xfId="45" applyFill="1"/>
    <xf numFmtId="0" fontId="7" fillId="36" borderId="1" xfId="0" applyFont="1" applyFill="1" applyBorder="1" applyAlignment="1">
      <alignment wrapText="1"/>
    </xf>
    <xf numFmtId="0" fontId="0" fillId="39" borderId="1" xfId="0" applyFill="1" applyBorder="1"/>
    <xf numFmtId="0" fontId="8" fillId="39" borderId="1" xfId="0" applyFont="1" applyFill="1" applyBorder="1"/>
    <xf numFmtId="0" fontId="5" fillId="0" borderId="1" xfId="0" applyFont="1" applyBorder="1"/>
    <xf numFmtId="0" fontId="0" fillId="39" borderId="0" xfId="0" applyFill="1"/>
    <xf numFmtId="0" fontId="0" fillId="0" borderId="0" xfId="0" applyAlignment="1">
      <alignment horizontal="left" vertical="top" wrapText="1"/>
    </xf>
    <xf numFmtId="0" fontId="8" fillId="0" borderId="0" xfId="0" applyFont="1" applyAlignment="1">
      <alignment horizontal="left" vertical="center" wrapText="1"/>
    </xf>
    <xf numFmtId="0" fontId="6" fillId="37" borderId="18" xfId="0" applyFont="1" applyFill="1" applyBorder="1" applyAlignment="1">
      <alignment horizontal="center" vertical="center" wrapText="1"/>
    </xf>
  </cellXfs>
  <cellStyles count="46">
    <cellStyle name="20% - Énfasis1 2" xfId="21" xr:uid="{EF63E028-D2E8-4B5A-AA28-EEB7F9EEDC10}"/>
    <cellStyle name="20% - Énfasis2 2" xfId="25" xr:uid="{9A7F9236-F73C-49A9-9323-83B8EFE51C5A}"/>
    <cellStyle name="20% - Énfasis3 2" xfId="29" xr:uid="{30BF7FE1-6FEB-4865-96B3-D6EC5A76A6DD}"/>
    <cellStyle name="20% - Énfasis4 2" xfId="33" xr:uid="{44226F77-AE51-4CC8-B1E0-2EC479A12366}"/>
    <cellStyle name="20% - Énfasis5 2" xfId="37" xr:uid="{E6112845-FC11-45D2-8BEA-2760A423E58C}"/>
    <cellStyle name="20% - Énfasis6 2" xfId="41" xr:uid="{055604EC-9959-4839-A911-FDFED92C6DB4}"/>
    <cellStyle name="40% - Énfasis1 2" xfId="22" xr:uid="{E01C789E-3059-48A5-BCB6-ED03CAAA5477}"/>
    <cellStyle name="40% - Énfasis2 2" xfId="26" xr:uid="{F54B9959-52CC-433D-AF47-C8D43BB05063}"/>
    <cellStyle name="40% - Énfasis3 2" xfId="30" xr:uid="{876DB1E0-5D66-429B-A3A4-FB7F83F91CE0}"/>
    <cellStyle name="40% - Énfasis4 2" xfId="34" xr:uid="{F8F8D91A-65D1-4A75-82A6-6206F288CB32}"/>
    <cellStyle name="40% - Énfasis5 2" xfId="38" xr:uid="{5116BB3C-0533-41DF-A5A6-CCF9E902BF52}"/>
    <cellStyle name="40% - Énfasis6 2" xfId="42" xr:uid="{AD00B0F4-6B31-47A1-97C4-AC530714C6F6}"/>
    <cellStyle name="60% - Énfasis1 2" xfId="23" xr:uid="{964819E5-3EE2-4B96-ACCE-4E8CB2199EFA}"/>
    <cellStyle name="60% - Énfasis2 2" xfId="27" xr:uid="{55990425-A6B3-48D3-8F1D-38D25B3CE19D}"/>
    <cellStyle name="60% - Énfasis3 2" xfId="31" xr:uid="{3C778E3D-692D-45C5-B8F6-D73340D07458}"/>
    <cellStyle name="60% - Énfasis4 2" xfId="35" xr:uid="{31FBE990-C895-4431-9966-E7C679D541F7}"/>
    <cellStyle name="60% - Énfasis5 2" xfId="39" xr:uid="{DE4258A9-BFC6-4FD6-AC36-46637E1B78D5}"/>
    <cellStyle name="60% - Énfasis6 2" xfId="43" xr:uid="{6B8B2B7F-7180-4B80-BD5A-6CB37D62001A}"/>
    <cellStyle name="Bueno 2" xfId="14" xr:uid="{AAC61B1C-B77F-4131-B33B-FE0359599775}"/>
    <cellStyle name="Cálculo" xfId="7" builtinId="22" customBuiltin="1"/>
    <cellStyle name="Celda de comprobación" xfId="9" builtinId="23" customBuiltin="1"/>
    <cellStyle name="Celda vinculada" xfId="8" builtinId="24" customBuiltin="1"/>
    <cellStyle name="Encabezado 1" xfId="2" builtinId="16" customBuiltin="1"/>
    <cellStyle name="Encabezado 4 2" xfId="13" xr:uid="{59B5EBCA-8BB7-40CE-91F3-D45A9EDCD379}"/>
    <cellStyle name="Énfasis1 2" xfId="20" xr:uid="{E3966DEE-9A9B-411C-A9BB-27F21324A775}"/>
    <cellStyle name="Énfasis2 2" xfId="24" xr:uid="{05812652-89F0-4146-BE94-BBDA1781844C}"/>
    <cellStyle name="Énfasis3 2" xfId="28" xr:uid="{109CA172-29CF-4C69-8CA1-485BCDFF828B}"/>
    <cellStyle name="Énfasis4 2" xfId="32" xr:uid="{471C2017-94B4-41E1-A121-E1E81ADCC932}"/>
    <cellStyle name="Énfasis5 2" xfId="36" xr:uid="{F94B2657-A54C-40E9-BAE0-FE1E6E4C08D5}"/>
    <cellStyle name="Énfasis6 2" xfId="40" xr:uid="{F3BBAEB6-E39A-4FB4-82EC-A67F121981FB}"/>
    <cellStyle name="Entrada" xfId="5" builtinId="20" customBuiltin="1"/>
    <cellStyle name="Hipervínculo" xfId="44" builtinId="8"/>
    <cellStyle name="Incorrecto 2" xfId="15" xr:uid="{48B3254E-7ED7-4AF8-B8F9-EAECD23A7839}"/>
    <cellStyle name="Neutral 2" xfId="16" xr:uid="{08BE7922-3013-4445-8D67-AF323D1AD5E6}"/>
    <cellStyle name="Normal" xfId="0" builtinId="0"/>
    <cellStyle name="Normal 2" xfId="11" xr:uid="{F57D5F00-3E92-40F0-848D-833D3EA0AF7F}"/>
    <cellStyle name="Normal 3" xfId="1" xr:uid="{033B4B01-E521-43F2-BC4A-A8AAE80252D6}"/>
    <cellStyle name="Normal 4" xfId="45" xr:uid="{33DC9CE6-15F2-4C77-B517-2518439575D6}"/>
    <cellStyle name="Notas 2" xfId="18" xr:uid="{21D3C954-6BDA-4A93-A0F5-7B2A011DE5B8}"/>
    <cellStyle name="Salida" xfId="6" builtinId="21" customBuiltin="1"/>
    <cellStyle name="Texto de advertencia 2" xfId="17" xr:uid="{0022C13C-0023-4397-90B7-C32553DF359A}"/>
    <cellStyle name="Texto explicativo 2" xfId="19" xr:uid="{F7D85719-0040-44AA-826F-C62AD7532565}"/>
    <cellStyle name="Título 2" xfId="3" builtinId="17" customBuiltin="1"/>
    <cellStyle name="Título 3" xfId="4" builtinId="18" customBuiltin="1"/>
    <cellStyle name="Título 4" xfId="12" xr:uid="{05B4209A-CC59-4AD6-AA1F-DD37A7BE2A2B}"/>
    <cellStyle name="Total" xfId="10" builtinId="25" customBuiltin="1"/>
  </cellStyles>
  <dxfs count="0"/>
  <tableStyles count="0" defaultTableStyle="TableStyleMedium2" defaultPivotStyle="PivotStyleLight16"/>
  <colors>
    <mruColors>
      <color rgb="FFEEFE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rive.google.com/drive/u/2/folders/1_BNO0lCDdBTCGNXSiLqQXIbUhFzlOaUr" TargetMode="External"/><Relationship Id="rId2" Type="http://schemas.openxmlformats.org/officeDocument/2006/relationships/hyperlink" Target="https://portal.sma.gob.cl/index.php/portal-regulados/instructivos-y-guias/reporte-datos-biodiversidad" TargetMode="External"/><Relationship Id="rId1" Type="http://schemas.openxmlformats.org/officeDocument/2006/relationships/hyperlink" Target="https://oac.sma.gob.cl/Formularios/FormularioExterno"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4DC84-2F3C-4BB4-AE57-256B5DC0601D}">
  <sheetPr codeName="Hoja1"/>
  <dimension ref="A1:C14"/>
  <sheetViews>
    <sheetView zoomScaleNormal="100" workbookViewId="0">
      <pane ySplit="9" topLeftCell="A10" activePane="bottomLeft" state="frozen"/>
      <selection pane="bottomLeft" activeCell="C14" sqref="C14"/>
    </sheetView>
  </sheetViews>
  <sheetFormatPr baseColWidth="10" defaultColWidth="11.44140625" defaultRowHeight="14.4"/>
  <cols>
    <col min="1" max="1" width="35" customWidth="1"/>
    <col min="2" max="2" width="87.6640625" customWidth="1"/>
    <col min="3" max="3" width="15.44140625" customWidth="1"/>
  </cols>
  <sheetData>
    <row r="1" spans="1:3" ht="23.4">
      <c r="A1" s="1" t="s">
        <v>1047</v>
      </c>
    </row>
    <row r="2" spans="1:3" ht="23.4">
      <c r="A2" s="1" t="s">
        <v>0</v>
      </c>
    </row>
    <row r="3" spans="1:3" ht="80.25" customHeight="1">
      <c r="A3" s="28" t="s">
        <v>1</v>
      </c>
      <c r="B3" s="28" t="s">
        <v>2</v>
      </c>
    </row>
    <row r="4" spans="1:3">
      <c r="A4" s="29" t="s">
        <v>3</v>
      </c>
      <c r="B4" s="36" t="s">
        <v>4</v>
      </c>
    </row>
    <row r="5" spans="1:3">
      <c r="A5" s="29" t="s">
        <v>5</v>
      </c>
      <c r="B5" s="37" t="s">
        <v>4</v>
      </c>
    </row>
    <row r="6" spans="1:3">
      <c r="A6" s="29" t="s">
        <v>651</v>
      </c>
      <c r="B6" s="37" t="s">
        <v>4</v>
      </c>
    </row>
    <row r="7" spans="1:3">
      <c r="A7" t="s">
        <v>648</v>
      </c>
      <c r="B7" s="42" t="s">
        <v>1045</v>
      </c>
    </row>
    <row r="9" spans="1:3" ht="33" customHeight="1">
      <c r="A9" s="12" t="s">
        <v>6</v>
      </c>
      <c r="B9" s="12" t="s">
        <v>7</v>
      </c>
      <c r="C9" s="34" t="s">
        <v>8</v>
      </c>
    </row>
    <row r="10" spans="1:3" ht="28.8">
      <c r="A10" s="2" t="s">
        <v>10</v>
      </c>
      <c r="B10" s="4" t="s">
        <v>11</v>
      </c>
      <c r="C10" s="2" t="s">
        <v>9</v>
      </c>
    </row>
    <row r="11" spans="1:3" ht="28.8">
      <c r="A11" s="2" t="s">
        <v>12</v>
      </c>
      <c r="B11" s="4" t="s">
        <v>13</v>
      </c>
      <c r="C11">
        <v>1</v>
      </c>
    </row>
    <row r="12" spans="1:3" ht="28.8">
      <c r="A12" s="2" t="s">
        <v>14</v>
      </c>
      <c r="B12" s="4" t="s">
        <v>15</v>
      </c>
      <c r="C12">
        <v>2</v>
      </c>
    </row>
    <row r="13" spans="1:3" ht="43.2">
      <c r="A13" s="2" t="s">
        <v>16</v>
      </c>
      <c r="B13" s="4" t="s">
        <v>17</v>
      </c>
      <c r="C13">
        <v>3</v>
      </c>
    </row>
    <row r="14" spans="1:3" ht="57.6">
      <c r="A14" s="2" t="s">
        <v>870</v>
      </c>
      <c r="B14" s="4" t="s">
        <v>871</v>
      </c>
      <c r="C14" s="2" t="s">
        <v>9</v>
      </c>
    </row>
  </sheetData>
  <sheetProtection algorithmName="SHA-512" hashValue="OFCG2X7rdb39IHgf8esQV5a0JqQgjaF2lAnOflzwEQhXOsU14yPFUMgtRZfLBJg27FNAU+ZxDFhiiOEblArZjA==" saltValue="DVI82DZIdP7kSz/Dq3/zxg==" spinCount="100000" sheet="1" formatCells="0" formatColumns="0" sort="0" autoFilter="0"/>
  <autoFilter ref="A9:C13" xr:uid="{11D4DC84-2F3C-4BB4-AE57-256B5DC0601D}"/>
  <hyperlinks>
    <hyperlink ref="B5" r:id="rId1" xr:uid="{87353167-8977-48C1-A793-2C9B0CEDFC59}"/>
    <hyperlink ref="B4" r:id="rId2" xr:uid="{CE0B7CF3-250A-450E-B709-C3C2A5C37703}"/>
    <hyperlink ref="B6" r:id="rId3" xr:uid="{50A0FF79-7226-4EA2-83DE-24FC43B3F4C2}"/>
  </hyperlinks>
  <pageMargins left="0.7" right="0.7" top="0.75" bottom="0.75" header="0.3" footer="0.3"/>
  <pageSetup paperSize="9" orientation="portrait" horizontalDpi="1200" verticalDpi="1200"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0DD40-CE7A-473C-8DF8-D5BF3066A1EA}">
  <sheetPr codeName="Hoja2"/>
  <dimension ref="A1:E16301"/>
  <sheetViews>
    <sheetView zoomScaleNormal="100" workbookViewId="0">
      <pane ySplit="4" topLeftCell="A5" activePane="bottomLeft" state="frozen"/>
      <selection pane="bottomLeft"/>
    </sheetView>
  </sheetViews>
  <sheetFormatPr baseColWidth="10" defaultColWidth="8.6640625" defaultRowHeight="11.25" customHeight="1"/>
  <cols>
    <col min="1" max="1" width="23.33203125" style="4" bestFit="1" customWidth="1"/>
    <col min="2" max="2" width="21.88671875" style="9" customWidth="1"/>
    <col min="3" max="3" width="57.88671875" style="6" customWidth="1"/>
    <col min="4" max="4" width="47.33203125" style="6" customWidth="1"/>
    <col min="5" max="5" width="17.88671875" style="3" customWidth="1"/>
    <col min="6" max="16384" width="8.6640625" style="3"/>
  </cols>
  <sheetData>
    <row r="1" spans="1:5" ht="23.25" customHeight="1">
      <c r="A1" s="1" t="s">
        <v>10</v>
      </c>
    </row>
    <row r="2" spans="1:5" ht="99" customHeight="1">
      <c r="A2" s="28" t="s">
        <v>18</v>
      </c>
      <c r="B2" s="86" t="s">
        <v>912</v>
      </c>
      <c r="C2" s="86"/>
      <c r="D2" s="86"/>
      <c r="E2" s="86"/>
    </row>
    <row r="3" spans="1:5" ht="22.5" customHeight="1"/>
    <row r="4" spans="1:5" s="13" customFormat="1" ht="35.25" customHeight="1">
      <c r="A4" s="10" t="s">
        <v>19</v>
      </c>
      <c r="B4" s="10" t="s">
        <v>52</v>
      </c>
      <c r="C4" s="10" t="s">
        <v>53</v>
      </c>
      <c r="D4" s="14" t="s">
        <v>54</v>
      </c>
      <c r="E4" s="14" t="s">
        <v>20</v>
      </c>
    </row>
    <row r="5" spans="1:5" s="13" customFormat="1" ht="43.2">
      <c r="A5" s="5" t="s">
        <v>12</v>
      </c>
      <c r="B5" s="3" t="s">
        <v>21</v>
      </c>
      <c r="C5" s="5" t="s">
        <v>55</v>
      </c>
      <c r="D5" s="24" t="s">
        <v>79</v>
      </c>
      <c r="E5" s="3" t="s">
        <v>57</v>
      </c>
    </row>
    <row r="6" spans="1:5" s="13" customFormat="1" ht="14.4">
      <c r="A6" s="5" t="s">
        <v>12</v>
      </c>
      <c r="B6" s="3" t="s">
        <v>58</v>
      </c>
      <c r="C6" s="5" t="s">
        <v>59</v>
      </c>
      <c r="D6" s="11" t="s">
        <v>60</v>
      </c>
      <c r="E6" s="3" t="s">
        <v>61</v>
      </c>
    </row>
    <row r="7" spans="1:5" ht="28.8">
      <c r="A7" s="23" t="s">
        <v>12</v>
      </c>
      <c r="B7" s="3" t="s">
        <v>22</v>
      </c>
      <c r="C7" s="23" t="s">
        <v>62</v>
      </c>
      <c r="D7" s="11" t="s">
        <v>56</v>
      </c>
      <c r="E7" s="4" t="s">
        <v>57</v>
      </c>
    </row>
    <row r="8" spans="1:5" ht="14.4">
      <c r="A8" s="5" t="s">
        <v>12</v>
      </c>
      <c r="B8" s="5" t="s">
        <v>23</v>
      </c>
      <c r="C8" s="5" t="s">
        <v>63</v>
      </c>
      <c r="D8" s="6" t="s">
        <v>64</v>
      </c>
      <c r="E8" s="4" t="s">
        <v>57</v>
      </c>
    </row>
    <row r="9" spans="1:5" ht="14.4">
      <c r="A9" s="5" t="s">
        <v>12</v>
      </c>
      <c r="B9" s="5" t="s">
        <v>24</v>
      </c>
      <c r="C9" s="5" t="s">
        <v>65</v>
      </c>
      <c r="D9" s="6" t="s">
        <v>66</v>
      </c>
      <c r="E9" s="4" t="s">
        <v>57</v>
      </c>
    </row>
    <row r="10" spans="1:5" ht="14.4">
      <c r="A10" s="5" t="s">
        <v>12</v>
      </c>
      <c r="B10" s="5" t="s">
        <v>25</v>
      </c>
      <c r="C10" s="5" t="s">
        <v>67</v>
      </c>
      <c r="D10" s="6" t="s">
        <v>68</v>
      </c>
      <c r="E10" s="4" t="s">
        <v>57</v>
      </c>
    </row>
    <row r="11" spans="1:5" ht="14.4">
      <c r="A11" s="5" t="s">
        <v>12</v>
      </c>
      <c r="B11" s="5" t="s">
        <v>26</v>
      </c>
      <c r="C11" s="5" t="s">
        <v>69</v>
      </c>
      <c r="D11" s="6" t="s">
        <v>64</v>
      </c>
      <c r="E11" s="4" t="s">
        <v>57</v>
      </c>
    </row>
    <row r="12" spans="1:5" ht="14.4">
      <c r="A12" s="5" t="s">
        <v>12</v>
      </c>
      <c r="B12" s="5" t="s">
        <v>27</v>
      </c>
      <c r="C12" s="5" t="s">
        <v>70</v>
      </c>
      <c r="D12" s="6" t="s">
        <v>66</v>
      </c>
      <c r="E12" s="4" t="s">
        <v>57</v>
      </c>
    </row>
    <row r="13" spans="1:5" ht="14.4">
      <c r="A13" s="5" t="s">
        <v>12</v>
      </c>
      <c r="B13" s="5" t="s">
        <v>28</v>
      </c>
      <c r="C13" s="5" t="s">
        <v>71</v>
      </c>
      <c r="D13" s="6" t="s">
        <v>68</v>
      </c>
      <c r="E13" s="4" t="s">
        <v>57</v>
      </c>
    </row>
    <row r="14" spans="1:5" ht="43.2">
      <c r="A14" s="5" t="s">
        <v>12</v>
      </c>
      <c r="B14" s="5" t="s">
        <v>72</v>
      </c>
      <c r="C14" s="5" t="s">
        <v>73</v>
      </c>
      <c r="D14" s="6" t="s">
        <v>74</v>
      </c>
      <c r="E14" s="3" t="s">
        <v>61</v>
      </c>
    </row>
    <row r="15" spans="1:5" ht="14.4">
      <c r="A15" s="5" t="s">
        <v>12</v>
      </c>
      <c r="B15" s="5" t="s">
        <v>75</v>
      </c>
      <c r="C15" s="5" t="s">
        <v>76</v>
      </c>
      <c r="D15" s="6" t="s">
        <v>77</v>
      </c>
      <c r="E15" s="3" t="s">
        <v>61</v>
      </c>
    </row>
    <row r="16" spans="1:5" ht="43.2">
      <c r="A16" s="5" t="s">
        <v>14</v>
      </c>
      <c r="B16" s="33" t="s">
        <v>29</v>
      </c>
      <c r="C16" s="5" t="s">
        <v>78</v>
      </c>
      <c r="D16" s="24" t="s">
        <v>79</v>
      </c>
      <c r="E16" s="4" t="s">
        <v>57</v>
      </c>
    </row>
    <row r="17" spans="1:5" ht="43.2">
      <c r="A17" s="5" t="s">
        <v>14</v>
      </c>
      <c r="B17" s="33" t="s">
        <v>80</v>
      </c>
      <c r="C17" s="5" t="s">
        <v>81</v>
      </c>
      <c r="D17" s="11" t="s">
        <v>82</v>
      </c>
      <c r="E17" s="4" t="s">
        <v>61</v>
      </c>
    </row>
    <row r="18" spans="1:5" ht="28.8">
      <c r="A18" s="5" t="s">
        <v>14</v>
      </c>
      <c r="B18" s="3" t="s">
        <v>83</v>
      </c>
      <c r="C18" s="5" t="s">
        <v>84</v>
      </c>
      <c r="D18" s="11" t="s">
        <v>85</v>
      </c>
      <c r="E18" s="4" t="s">
        <v>61</v>
      </c>
    </row>
    <row r="19" spans="1:5" ht="57.6">
      <c r="A19" s="5" t="s">
        <v>14</v>
      </c>
      <c r="B19" s="33" t="s">
        <v>30</v>
      </c>
      <c r="C19" s="5" t="s">
        <v>86</v>
      </c>
      <c r="D19" s="11" t="s">
        <v>87</v>
      </c>
      <c r="E19" s="4" t="s">
        <v>57</v>
      </c>
    </row>
    <row r="20" spans="1:5" ht="57.6">
      <c r="A20" s="5" t="s">
        <v>14</v>
      </c>
      <c r="B20" s="33" t="s">
        <v>88</v>
      </c>
      <c r="C20" s="5" t="s">
        <v>89</v>
      </c>
      <c r="D20" s="11" t="s">
        <v>90</v>
      </c>
      <c r="E20" s="4" t="s">
        <v>61</v>
      </c>
    </row>
    <row r="21" spans="1:5" ht="43.2">
      <c r="A21" s="5" t="s">
        <v>14</v>
      </c>
      <c r="B21" s="33" t="s">
        <v>31</v>
      </c>
      <c r="C21" s="5" t="s">
        <v>91</v>
      </c>
      <c r="D21" s="11" t="s">
        <v>92</v>
      </c>
      <c r="E21" s="4" t="s">
        <v>93</v>
      </c>
    </row>
    <row r="22" spans="1:5" ht="43.2">
      <c r="A22" s="5" t="s">
        <v>14</v>
      </c>
      <c r="B22" s="33" t="s">
        <v>32</v>
      </c>
      <c r="C22" s="5" t="s">
        <v>94</v>
      </c>
      <c r="D22" s="11" t="s">
        <v>95</v>
      </c>
      <c r="E22" s="4" t="s">
        <v>93</v>
      </c>
    </row>
    <row r="23" spans="1:5" ht="28.8">
      <c r="A23" s="5" t="s">
        <v>14</v>
      </c>
      <c r="B23" s="33" t="s">
        <v>33</v>
      </c>
      <c r="C23" s="5" t="s">
        <v>96</v>
      </c>
      <c r="D23" s="11" t="s">
        <v>97</v>
      </c>
      <c r="E23" s="4" t="s">
        <v>93</v>
      </c>
    </row>
    <row r="24" spans="1:5" ht="28.8">
      <c r="A24" s="5" t="s">
        <v>14</v>
      </c>
      <c r="B24" s="33" t="s">
        <v>34</v>
      </c>
      <c r="C24" s="5" t="s">
        <v>98</v>
      </c>
      <c r="D24" s="11" t="s">
        <v>99</v>
      </c>
      <c r="E24" s="4" t="s">
        <v>93</v>
      </c>
    </row>
    <row r="25" spans="1:5" ht="72">
      <c r="A25" s="5" t="s">
        <v>14</v>
      </c>
      <c r="B25" s="33" t="s">
        <v>35</v>
      </c>
      <c r="C25" s="5" t="s">
        <v>100</v>
      </c>
      <c r="D25" s="35" t="s">
        <v>101</v>
      </c>
      <c r="E25" s="4" t="s">
        <v>102</v>
      </c>
    </row>
    <row r="26" spans="1:5" ht="72">
      <c r="A26" s="5" t="s">
        <v>14</v>
      </c>
      <c r="B26" s="33" t="s">
        <v>36</v>
      </c>
      <c r="C26" s="5" t="s">
        <v>103</v>
      </c>
      <c r="D26" s="30" t="s">
        <v>104</v>
      </c>
      <c r="E26" s="4" t="s">
        <v>102</v>
      </c>
    </row>
    <row r="27" spans="1:5" ht="57.6">
      <c r="A27" s="5" t="s">
        <v>14</v>
      </c>
      <c r="B27" s="33" t="s">
        <v>37</v>
      </c>
      <c r="C27" s="5" t="s">
        <v>105</v>
      </c>
      <c r="D27" s="35" t="s">
        <v>101</v>
      </c>
      <c r="E27" s="4" t="s">
        <v>102</v>
      </c>
    </row>
    <row r="28" spans="1:5" ht="57.6">
      <c r="A28" s="5" t="s">
        <v>14</v>
      </c>
      <c r="B28" s="33" t="s">
        <v>38</v>
      </c>
      <c r="C28" s="5" t="s">
        <v>106</v>
      </c>
      <c r="D28" s="30" t="s">
        <v>104</v>
      </c>
      <c r="E28" s="4" t="s">
        <v>102</v>
      </c>
    </row>
    <row r="29" spans="1:5" ht="57.6">
      <c r="A29" s="5" t="s">
        <v>14</v>
      </c>
      <c r="B29" s="33" t="s">
        <v>39</v>
      </c>
      <c r="C29" s="5" t="s">
        <v>107</v>
      </c>
      <c r="D29" s="35" t="s">
        <v>101</v>
      </c>
      <c r="E29" s="4" t="s">
        <v>102</v>
      </c>
    </row>
    <row r="30" spans="1:5" ht="72">
      <c r="A30" s="5" t="s">
        <v>14</v>
      </c>
      <c r="B30" s="33" t="s">
        <v>40</v>
      </c>
      <c r="C30" s="5" t="s">
        <v>108</v>
      </c>
      <c r="D30" s="30" t="s">
        <v>104</v>
      </c>
      <c r="E30" s="4" t="s">
        <v>102</v>
      </c>
    </row>
    <row r="31" spans="1:5" ht="14.4">
      <c r="A31" s="5" t="s">
        <v>14</v>
      </c>
      <c r="B31" s="5" t="s">
        <v>109</v>
      </c>
      <c r="C31" s="5" t="s">
        <v>110</v>
      </c>
      <c r="D31" s="11" t="s">
        <v>111</v>
      </c>
      <c r="E31" s="4" t="s">
        <v>61</v>
      </c>
    </row>
    <row r="32" spans="1:5" ht="14.4">
      <c r="A32" s="5" t="s">
        <v>14</v>
      </c>
      <c r="B32" s="5" t="s">
        <v>112</v>
      </c>
      <c r="C32" s="5" t="s">
        <v>113</v>
      </c>
      <c r="D32" s="11" t="s">
        <v>114</v>
      </c>
      <c r="E32" s="4" t="s">
        <v>61</v>
      </c>
    </row>
    <row r="33" spans="1:5" ht="14.4">
      <c r="A33" s="5" t="s">
        <v>14</v>
      </c>
      <c r="B33" s="5" t="s">
        <v>115</v>
      </c>
      <c r="C33" s="5" t="s">
        <v>116</v>
      </c>
      <c r="D33" s="11" t="s">
        <v>117</v>
      </c>
      <c r="E33" s="4" t="s">
        <v>61</v>
      </c>
    </row>
    <row r="34" spans="1:5" ht="28.8">
      <c r="A34" s="5" t="s">
        <v>14</v>
      </c>
      <c r="B34" s="5" t="s">
        <v>118</v>
      </c>
      <c r="C34" s="5" t="s">
        <v>119</v>
      </c>
      <c r="D34" s="11" t="s">
        <v>120</v>
      </c>
      <c r="E34" s="4" t="s">
        <v>61</v>
      </c>
    </row>
    <row r="35" spans="1:5" ht="14.4">
      <c r="A35" s="5" t="s">
        <v>14</v>
      </c>
      <c r="B35" s="5" t="s">
        <v>121</v>
      </c>
      <c r="C35" s="5" t="s">
        <v>122</v>
      </c>
      <c r="D35" s="11" t="s">
        <v>123</v>
      </c>
      <c r="E35" s="4" t="s">
        <v>61</v>
      </c>
    </row>
    <row r="36" spans="1:5" ht="28.8">
      <c r="A36" s="5" t="s">
        <v>14</v>
      </c>
      <c r="B36" s="5" t="s">
        <v>124</v>
      </c>
      <c r="C36" s="5" t="s">
        <v>125</v>
      </c>
      <c r="D36" s="11" t="s">
        <v>126</v>
      </c>
      <c r="E36" s="4" t="s">
        <v>61</v>
      </c>
    </row>
    <row r="37" spans="1:5" ht="57.6">
      <c r="A37" s="5" t="s">
        <v>14</v>
      </c>
      <c r="B37" s="5" t="s">
        <v>874</v>
      </c>
      <c r="C37" s="5" t="s">
        <v>884</v>
      </c>
      <c r="D37" s="11" t="s">
        <v>875</v>
      </c>
      <c r="E37" s="4" t="s">
        <v>61</v>
      </c>
    </row>
    <row r="38" spans="1:5" ht="28.8">
      <c r="A38" s="5" t="s">
        <v>14</v>
      </c>
      <c r="B38" s="5" t="s">
        <v>75</v>
      </c>
      <c r="C38" s="5" t="s">
        <v>127</v>
      </c>
      <c r="D38" s="11" t="s">
        <v>128</v>
      </c>
      <c r="E38" s="4" t="s">
        <v>61</v>
      </c>
    </row>
    <row r="39" spans="1:5" ht="28.8">
      <c r="A39" s="5" t="s">
        <v>16</v>
      </c>
      <c r="B39" s="5" t="s">
        <v>21</v>
      </c>
      <c r="C39" s="5" t="s">
        <v>649</v>
      </c>
      <c r="D39" s="24" t="s">
        <v>79</v>
      </c>
      <c r="E39" s="3" t="s">
        <v>57</v>
      </c>
    </row>
    <row r="40" spans="1:5" ht="43.2">
      <c r="A40" s="5" t="s">
        <v>16</v>
      </c>
      <c r="B40" s="33" t="s">
        <v>29</v>
      </c>
      <c r="C40" s="5" t="s">
        <v>650</v>
      </c>
      <c r="D40" s="24" t="s">
        <v>79</v>
      </c>
      <c r="E40" s="4" t="s">
        <v>57</v>
      </c>
    </row>
    <row r="41" spans="1:5" ht="57.6">
      <c r="A41" s="5" t="s">
        <v>16</v>
      </c>
      <c r="B41" s="33" t="s">
        <v>129</v>
      </c>
      <c r="C41" s="5" t="s">
        <v>130</v>
      </c>
      <c r="D41" s="11" t="s">
        <v>82</v>
      </c>
      <c r="E41" s="4" t="s">
        <v>61</v>
      </c>
    </row>
    <row r="42" spans="1:5" ht="14.4">
      <c r="A42" s="5" t="s">
        <v>16</v>
      </c>
      <c r="B42" s="33" t="s">
        <v>41</v>
      </c>
      <c r="C42" s="5" t="s">
        <v>131</v>
      </c>
      <c r="D42" s="11" t="s">
        <v>132</v>
      </c>
      <c r="E42" s="4" t="s">
        <v>57</v>
      </c>
    </row>
    <row r="43" spans="1:5" ht="14.4">
      <c r="A43" s="5" t="s">
        <v>16</v>
      </c>
      <c r="B43" s="33" t="s">
        <v>42</v>
      </c>
      <c r="C43" s="33" t="s">
        <v>133</v>
      </c>
      <c r="D43" s="11" t="s">
        <v>134</v>
      </c>
      <c r="E43" s="4" t="s">
        <v>57</v>
      </c>
    </row>
    <row r="44" spans="1:5" ht="14.4">
      <c r="A44" s="5" t="s">
        <v>16</v>
      </c>
      <c r="B44" s="33" t="s">
        <v>43</v>
      </c>
      <c r="C44" s="33" t="s">
        <v>135</v>
      </c>
      <c r="D44" s="11" t="s">
        <v>136</v>
      </c>
      <c r="E44" s="4" t="s">
        <v>57</v>
      </c>
    </row>
    <row r="45" spans="1:5" ht="28.8">
      <c r="A45" s="5" t="s">
        <v>16</v>
      </c>
      <c r="B45" s="33" t="s">
        <v>44</v>
      </c>
      <c r="C45" s="5" t="s">
        <v>137</v>
      </c>
      <c r="D45" s="11" t="s">
        <v>138</v>
      </c>
      <c r="E45" s="3" t="s">
        <v>45</v>
      </c>
    </row>
    <row r="46" spans="1:5" ht="28.8">
      <c r="A46" s="5" t="s">
        <v>16</v>
      </c>
      <c r="B46" s="5" t="s">
        <v>139</v>
      </c>
      <c r="C46" s="5" t="s">
        <v>140</v>
      </c>
      <c r="D46" s="11" t="s">
        <v>141</v>
      </c>
      <c r="E46" s="4" t="s">
        <v>61</v>
      </c>
    </row>
    <row r="47" spans="1:5" ht="57.6">
      <c r="A47" s="5" t="s">
        <v>16</v>
      </c>
      <c r="B47" s="5" t="s">
        <v>46</v>
      </c>
      <c r="C47" s="5" t="s">
        <v>142</v>
      </c>
      <c r="D47" s="11" t="s">
        <v>143</v>
      </c>
      <c r="E47" s="4" t="s">
        <v>93</v>
      </c>
    </row>
    <row r="48" spans="1:5" ht="28.8">
      <c r="A48" s="5" t="s">
        <v>16</v>
      </c>
      <c r="B48" s="5" t="s">
        <v>144</v>
      </c>
      <c r="C48" s="5" t="s">
        <v>145</v>
      </c>
      <c r="D48" s="11" t="s">
        <v>146</v>
      </c>
      <c r="E48" s="4" t="s">
        <v>61</v>
      </c>
    </row>
    <row r="49" spans="1:5" ht="43.2">
      <c r="A49" s="5" t="s">
        <v>16</v>
      </c>
      <c r="B49" s="5" t="s">
        <v>147</v>
      </c>
      <c r="C49" s="5" t="s">
        <v>148</v>
      </c>
      <c r="D49" s="11" t="s">
        <v>149</v>
      </c>
      <c r="E49" s="4" t="s">
        <v>61</v>
      </c>
    </row>
    <row r="50" spans="1:5" ht="43.2">
      <c r="A50" s="5" t="s">
        <v>16</v>
      </c>
      <c r="B50" s="33" t="s">
        <v>47</v>
      </c>
      <c r="C50" s="5" t="s">
        <v>150</v>
      </c>
      <c r="D50" s="11" t="s">
        <v>151</v>
      </c>
      <c r="E50" s="4" t="s">
        <v>93</v>
      </c>
    </row>
    <row r="51" spans="1:5" ht="28.8">
      <c r="A51" s="5" t="s">
        <v>16</v>
      </c>
      <c r="B51" s="5" t="s">
        <v>152</v>
      </c>
      <c r="C51" s="5" t="s">
        <v>153</v>
      </c>
      <c r="D51" s="11" t="s">
        <v>154</v>
      </c>
      <c r="E51" s="4" t="s">
        <v>61</v>
      </c>
    </row>
    <row r="52" spans="1:5" ht="14.4">
      <c r="A52" s="5" t="s">
        <v>16</v>
      </c>
      <c r="B52" s="5" t="s">
        <v>155</v>
      </c>
      <c r="C52" s="5" t="s">
        <v>156</v>
      </c>
      <c r="D52" s="11" t="s">
        <v>157</v>
      </c>
      <c r="E52" s="4" t="s">
        <v>61</v>
      </c>
    </row>
    <row r="53" spans="1:5" ht="28.8">
      <c r="A53" s="5" t="s">
        <v>16</v>
      </c>
      <c r="B53" s="33" t="s">
        <v>158</v>
      </c>
      <c r="C53" s="5" t="s">
        <v>159</v>
      </c>
      <c r="D53" s="11" t="s">
        <v>160</v>
      </c>
      <c r="E53" s="4" t="s">
        <v>61</v>
      </c>
    </row>
    <row r="54" spans="1:5" ht="14.4">
      <c r="A54" s="5" t="s">
        <v>16</v>
      </c>
      <c r="B54" s="5" t="s">
        <v>161</v>
      </c>
      <c r="C54" s="5" t="s">
        <v>162</v>
      </c>
      <c r="D54" s="11" t="s">
        <v>163</v>
      </c>
      <c r="E54" s="4" t="s">
        <v>61</v>
      </c>
    </row>
    <row r="55" spans="1:5" ht="14.4">
      <c r="A55" s="5" t="s">
        <v>16</v>
      </c>
      <c r="B55" s="5" t="s">
        <v>164</v>
      </c>
      <c r="C55" s="5" t="s">
        <v>165</v>
      </c>
      <c r="D55" s="11" t="s">
        <v>166</v>
      </c>
      <c r="E55" s="4" t="s">
        <v>61</v>
      </c>
    </row>
    <row r="56" spans="1:5" ht="14.4">
      <c r="A56" s="5" t="s">
        <v>16</v>
      </c>
      <c r="B56" s="5" t="s">
        <v>167</v>
      </c>
      <c r="C56" s="5" t="s">
        <v>168</v>
      </c>
      <c r="D56" s="11" t="s">
        <v>169</v>
      </c>
      <c r="E56" s="4" t="s">
        <v>61</v>
      </c>
    </row>
    <row r="57" spans="1:5" ht="14.4">
      <c r="A57" s="5" t="s">
        <v>16</v>
      </c>
      <c r="B57" s="5" t="s">
        <v>170</v>
      </c>
      <c r="C57" s="5" t="s">
        <v>171</v>
      </c>
      <c r="D57" s="11" t="s">
        <v>172</v>
      </c>
      <c r="E57" s="4" t="s">
        <v>61</v>
      </c>
    </row>
    <row r="58" spans="1:5" ht="43.2">
      <c r="A58" s="5" t="s">
        <v>16</v>
      </c>
      <c r="B58" s="5" t="s">
        <v>173</v>
      </c>
      <c r="C58" s="5" t="s">
        <v>174</v>
      </c>
      <c r="D58" s="11" t="s">
        <v>175</v>
      </c>
      <c r="E58" s="4" t="s">
        <v>61</v>
      </c>
    </row>
    <row r="59" spans="1:5" ht="14.4">
      <c r="A59" s="5" t="s">
        <v>16</v>
      </c>
      <c r="B59" s="5" t="s">
        <v>176</v>
      </c>
      <c r="C59" s="5" t="s">
        <v>177</v>
      </c>
      <c r="D59" s="11" t="s">
        <v>178</v>
      </c>
      <c r="E59" s="4" t="s">
        <v>61</v>
      </c>
    </row>
    <row r="60" spans="1:5" ht="43.2">
      <c r="A60" s="5" t="s">
        <v>16</v>
      </c>
      <c r="B60" s="5" t="s">
        <v>179</v>
      </c>
      <c r="C60" s="5" t="s">
        <v>180</v>
      </c>
      <c r="D60" s="11" t="s">
        <v>181</v>
      </c>
      <c r="E60" s="4" t="s">
        <v>61</v>
      </c>
    </row>
    <row r="61" spans="1:5" ht="14.4">
      <c r="A61" s="5" t="s">
        <v>16</v>
      </c>
      <c r="B61" s="5" t="s">
        <v>182</v>
      </c>
      <c r="C61" s="5" t="s">
        <v>183</v>
      </c>
      <c r="D61" s="11" t="s">
        <v>184</v>
      </c>
      <c r="E61" s="4" t="s">
        <v>61</v>
      </c>
    </row>
    <row r="62" spans="1:5" ht="14.4">
      <c r="A62" s="5" t="s">
        <v>16</v>
      </c>
      <c r="B62" s="5" t="s">
        <v>185</v>
      </c>
      <c r="C62" s="5" t="s">
        <v>186</v>
      </c>
      <c r="D62" s="11" t="s">
        <v>187</v>
      </c>
      <c r="E62" s="4" t="s">
        <v>61</v>
      </c>
    </row>
    <row r="63" spans="1:5" ht="28.8">
      <c r="A63" s="5" t="s">
        <v>16</v>
      </c>
      <c r="B63" s="33" t="s">
        <v>188</v>
      </c>
      <c r="C63" s="5" t="s">
        <v>189</v>
      </c>
      <c r="D63" s="11" t="s">
        <v>190</v>
      </c>
      <c r="E63" s="4" t="s">
        <v>61</v>
      </c>
    </row>
    <row r="64" spans="1:5" ht="43.2">
      <c r="A64" s="5" t="s">
        <v>16</v>
      </c>
      <c r="B64" s="33" t="s">
        <v>191</v>
      </c>
      <c r="C64" s="5" t="s">
        <v>192</v>
      </c>
      <c r="D64" s="11" t="s">
        <v>193</v>
      </c>
      <c r="E64" s="4" t="s">
        <v>61</v>
      </c>
    </row>
    <row r="65" spans="1:5" ht="28.8">
      <c r="A65" s="5" t="s">
        <v>16</v>
      </c>
      <c r="B65" s="33" t="s">
        <v>194</v>
      </c>
      <c r="C65" s="5" t="s">
        <v>195</v>
      </c>
      <c r="D65" s="11" t="s">
        <v>196</v>
      </c>
      <c r="E65" s="4" t="s">
        <v>61</v>
      </c>
    </row>
    <row r="66" spans="1:5" ht="28.8">
      <c r="A66" s="5" t="s">
        <v>16</v>
      </c>
      <c r="B66" s="5" t="s">
        <v>197</v>
      </c>
      <c r="C66" s="5" t="s">
        <v>198</v>
      </c>
      <c r="D66" s="11" t="s">
        <v>199</v>
      </c>
      <c r="E66" s="4" t="s">
        <v>61</v>
      </c>
    </row>
    <row r="67" spans="1:5" ht="43.2">
      <c r="A67" s="5" t="s">
        <v>16</v>
      </c>
      <c r="B67" s="5" t="s">
        <v>48</v>
      </c>
      <c r="C67" s="5" t="s">
        <v>200</v>
      </c>
      <c r="D67" s="11" t="s">
        <v>201</v>
      </c>
      <c r="E67" s="4" t="s">
        <v>93</v>
      </c>
    </row>
    <row r="68" spans="1:5" ht="14.4">
      <c r="A68" s="5" t="s">
        <v>16</v>
      </c>
      <c r="B68" s="33" t="s">
        <v>202</v>
      </c>
      <c r="C68" s="5" t="s">
        <v>203</v>
      </c>
      <c r="D68" s="11" t="s">
        <v>204</v>
      </c>
      <c r="E68" s="4" t="s">
        <v>61</v>
      </c>
    </row>
    <row r="69" spans="1:5" ht="57.6">
      <c r="A69" s="5" t="s">
        <v>16</v>
      </c>
      <c r="B69" s="3" t="s">
        <v>49</v>
      </c>
      <c r="C69" s="5" t="s">
        <v>205</v>
      </c>
      <c r="D69" s="30" t="s">
        <v>206</v>
      </c>
      <c r="E69" s="4" t="s">
        <v>93</v>
      </c>
    </row>
    <row r="70" spans="1:5" ht="57.6">
      <c r="A70" s="5" t="s">
        <v>16</v>
      </c>
      <c r="B70" s="3" t="s">
        <v>50</v>
      </c>
      <c r="C70" s="5" t="s">
        <v>207</v>
      </c>
      <c r="D70" s="30" t="s">
        <v>208</v>
      </c>
      <c r="E70" s="4" t="s">
        <v>93</v>
      </c>
    </row>
    <row r="71" spans="1:5" ht="57.6">
      <c r="A71" s="5" t="s">
        <v>16</v>
      </c>
      <c r="B71" s="3" t="s">
        <v>51</v>
      </c>
      <c r="C71" s="5" t="s">
        <v>209</v>
      </c>
      <c r="D71" s="11" t="s">
        <v>210</v>
      </c>
      <c r="E71" s="3" t="s">
        <v>45</v>
      </c>
    </row>
    <row r="72" spans="1:5" ht="43.2">
      <c r="A72" s="5" t="s">
        <v>16</v>
      </c>
      <c r="B72" s="5" t="s">
        <v>211</v>
      </c>
      <c r="C72" s="5" t="s">
        <v>212</v>
      </c>
      <c r="D72" s="11" t="s">
        <v>213</v>
      </c>
      <c r="E72" s="4" t="s">
        <v>61</v>
      </c>
    </row>
    <row r="73" spans="1:5" ht="43.2">
      <c r="A73" s="5" t="s">
        <v>16</v>
      </c>
      <c r="B73" s="33" t="s">
        <v>214</v>
      </c>
      <c r="C73" s="5" t="s">
        <v>215</v>
      </c>
      <c r="D73" s="11" t="s">
        <v>216</v>
      </c>
      <c r="E73" s="4" t="s">
        <v>61</v>
      </c>
    </row>
    <row r="74" spans="1:5" ht="57.6">
      <c r="A74" s="5" t="s">
        <v>16</v>
      </c>
      <c r="B74" s="33" t="s">
        <v>217</v>
      </c>
      <c r="C74" s="5" t="s">
        <v>218</v>
      </c>
      <c r="D74" s="11" t="s">
        <v>219</v>
      </c>
      <c r="E74" s="4" t="s">
        <v>61</v>
      </c>
    </row>
    <row r="75" spans="1:5" ht="43.2">
      <c r="A75" s="5" t="s">
        <v>16</v>
      </c>
      <c r="B75" s="33" t="s">
        <v>220</v>
      </c>
      <c r="C75" s="5" t="s">
        <v>221</v>
      </c>
      <c r="D75" s="11" t="s">
        <v>222</v>
      </c>
      <c r="E75" s="4" t="s">
        <v>61</v>
      </c>
    </row>
    <row r="76" spans="1:5" ht="28.8">
      <c r="A76" s="23" t="s">
        <v>16</v>
      </c>
      <c r="B76" s="33" t="s">
        <v>223</v>
      </c>
      <c r="C76" s="5" t="s">
        <v>224</v>
      </c>
      <c r="D76" s="11" t="s">
        <v>225</v>
      </c>
      <c r="E76" s="4" t="s">
        <v>61</v>
      </c>
    </row>
    <row r="77" spans="1:5" ht="57.6">
      <c r="A77" s="23" t="s">
        <v>16</v>
      </c>
      <c r="B77" s="5" t="s">
        <v>226</v>
      </c>
      <c r="C77" s="5" t="s">
        <v>227</v>
      </c>
      <c r="D77" s="11" t="s">
        <v>228</v>
      </c>
      <c r="E77" s="4" t="s">
        <v>61</v>
      </c>
    </row>
    <row r="78" spans="1:5" ht="57.6">
      <c r="A78" s="23" t="s">
        <v>16</v>
      </c>
      <c r="B78" s="5" t="s">
        <v>229</v>
      </c>
      <c r="C78" s="5" t="s">
        <v>230</v>
      </c>
      <c r="D78" s="11" t="s">
        <v>231</v>
      </c>
      <c r="E78" s="4" t="s">
        <v>61</v>
      </c>
    </row>
    <row r="79" spans="1:5" ht="28.8">
      <c r="A79" s="23" t="s">
        <v>16</v>
      </c>
      <c r="B79" s="5" t="s">
        <v>232</v>
      </c>
      <c r="C79" s="5" t="s">
        <v>233</v>
      </c>
      <c r="D79" s="11" t="s">
        <v>234</v>
      </c>
      <c r="E79" s="4" t="s">
        <v>61</v>
      </c>
    </row>
    <row r="80" spans="1:5" ht="28.8">
      <c r="A80" s="23" t="s">
        <v>16</v>
      </c>
      <c r="B80" s="33" t="s">
        <v>235</v>
      </c>
      <c r="C80" s="5" t="s">
        <v>236</v>
      </c>
      <c r="D80" s="11" t="s">
        <v>237</v>
      </c>
      <c r="E80" s="4" t="s">
        <v>61</v>
      </c>
    </row>
    <row r="81" spans="1:5" ht="28.8">
      <c r="A81" s="23" t="s">
        <v>16</v>
      </c>
      <c r="B81" s="33" t="s">
        <v>238</v>
      </c>
      <c r="C81" s="5" t="s">
        <v>239</v>
      </c>
      <c r="D81" s="11" t="s">
        <v>237</v>
      </c>
      <c r="E81" s="4" t="s">
        <v>61</v>
      </c>
    </row>
    <row r="82" spans="1:5" ht="28.8">
      <c r="A82" s="23" t="s">
        <v>16</v>
      </c>
      <c r="B82" s="33" t="s">
        <v>240</v>
      </c>
      <c r="C82" s="5" t="s">
        <v>241</v>
      </c>
      <c r="D82" s="11" t="s">
        <v>242</v>
      </c>
      <c r="E82" s="4" t="s">
        <v>61</v>
      </c>
    </row>
    <row r="83" spans="1:5" ht="86.4">
      <c r="A83" s="23" t="s">
        <v>16</v>
      </c>
      <c r="B83" s="33" t="s">
        <v>909</v>
      </c>
      <c r="C83" s="50" t="s">
        <v>913</v>
      </c>
      <c r="D83" s="24" t="s">
        <v>910</v>
      </c>
      <c r="E83" s="4" t="s">
        <v>61</v>
      </c>
    </row>
    <row r="84" spans="1:5" ht="72">
      <c r="A84" s="23" t="s">
        <v>16</v>
      </c>
      <c r="B84" s="33" t="s">
        <v>243</v>
      </c>
      <c r="C84" s="5" t="s">
        <v>244</v>
      </c>
      <c r="D84" s="11" t="s">
        <v>245</v>
      </c>
      <c r="E84" s="4" t="s">
        <v>61</v>
      </c>
    </row>
    <row r="16257" spans="3:4" ht="11.25" customHeight="1">
      <c r="C16257" s="7"/>
      <c r="D16257" s="7"/>
    </row>
    <row r="16258" spans="3:4" ht="11.25" customHeight="1">
      <c r="C16258" s="7"/>
      <c r="D16258" s="7"/>
    </row>
    <row r="16259" spans="3:4" ht="11.25" customHeight="1">
      <c r="C16259" s="7"/>
      <c r="D16259" s="7"/>
    </row>
    <row r="16260" spans="3:4" ht="11.25" customHeight="1">
      <c r="C16260" s="8"/>
      <c r="D16260" s="8"/>
    </row>
    <row r="16261" spans="3:4" ht="11.25" customHeight="1">
      <c r="C16261" s="7"/>
      <c r="D16261" s="7"/>
    </row>
    <row r="16262" spans="3:4" ht="11.25" customHeight="1">
      <c r="C16262" s="7"/>
      <c r="D16262" s="7"/>
    </row>
    <row r="16263" spans="3:4" ht="11.25" customHeight="1">
      <c r="C16263" s="7"/>
      <c r="D16263" s="7"/>
    </row>
    <row r="16264" spans="3:4" ht="11.25" customHeight="1">
      <c r="C16264" s="7"/>
      <c r="D16264" s="7"/>
    </row>
    <row r="16265" spans="3:4" ht="11.25" customHeight="1">
      <c r="C16265" s="7"/>
      <c r="D16265" s="7"/>
    </row>
    <row r="16266" spans="3:4" ht="11.25" customHeight="1">
      <c r="C16266" s="7"/>
      <c r="D16266" s="7"/>
    </row>
    <row r="16267" spans="3:4" ht="11.25" customHeight="1">
      <c r="C16267" s="7"/>
      <c r="D16267" s="7"/>
    </row>
    <row r="16268" spans="3:4" ht="11.25" customHeight="1">
      <c r="C16268" s="7"/>
      <c r="D16268" s="7"/>
    </row>
    <row r="16270" spans="3:4" ht="11.25" customHeight="1">
      <c r="C16270" s="7"/>
      <c r="D16270" s="7"/>
    </row>
    <row r="16271" spans="3:4" ht="11.25" customHeight="1">
      <c r="C16271" s="7"/>
      <c r="D16271" s="7"/>
    </row>
    <row r="16272" spans="3:4" ht="11.25" customHeight="1">
      <c r="C16272" s="7"/>
      <c r="D16272" s="7"/>
    </row>
    <row r="16273" spans="3:4" ht="11.25" customHeight="1">
      <c r="C16273" s="7"/>
      <c r="D16273" s="7"/>
    </row>
    <row r="16274" spans="3:4" ht="11.25" customHeight="1">
      <c r="C16274" s="7"/>
      <c r="D16274" s="7"/>
    </row>
    <row r="16275" spans="3:4" ht="11.25" customHeight="1">
      <c r="C16275" s="7"/>
      <c r="D16275" s="7"/>
    </row>
    <row r="16276" spans="3:4" ht="11.25" customHeight="1">
      <c r="C16276" s="7"/>
      <c r="D16276" s="7"/>
    </row>
    <row r="16277" spans="3:4" ht="11.25" customHeight="1">
      <c r="C16277" s="7"/>
      <c r="D16277" s="7"/>
    </row>
    <row r="16278" spans="3:4" ht="11.25" customHeight="1">
      <c r="C16278" s="7"/>
      <c r="D16278" s="7"/>
    </row>
    <row r="16279" spans="3:4" ht="11.25" customHeight="1">
      <c r="C16279" s="7"/>
      <c r="D16279" s="7"/>
    </row>
    <row r="16280" spans="3:4" ht="11.25" customHeight="1">
      <c r="C16280" s="7"/>
      <c r="D16280" s="7"/>
    </row>
    <row r="16281" spans="3:4" ht="11.25" customHeight="1">
      <c r="C16281" s="7"/>
      <c r="D16281" s="7"/>
    </row>
    <row r="16282" spans="3:4" ht="11.25" customHeight="1">
      <c r="C16282" s="7"/>
      <c r="D16282" s="7"/>
    </row>
    <row r="16283" spans="3:4" ht="11.25" customHeight="1">
      <c r="C16283" s="7"/>
      <c r="D16283" s="7"/>
    </row>
    <row r="16284" spans="3:4" ht="11.25" customHeight="1">
      <c r="C16284" s="7"/>
      <c r="D16284" s="7"/>
    </row>
    <row r="16285" spans="3:4" ht="11.25" customHeight="1">
      <c r="C16285" s="7"/>
      <c r="D16285" s="7"/>
    </row>
    <row r="16286" spans="3:4" ht="11.25" customHeight="1">
      <c r="C16286" s="7"/>
      <c r="D16286" s="7"/>
    </row>
    <row r="16287" spans="3:4" ht="11.25" customHeight="1">
      <c r="C16287" s="7"/>
      <c r="D16287" s="7"/>
    </row>
    <row r="16289" spans="3:4" ht="11.25" customHeight="1">
      <c r="C16289" s="7"/>
      <c r="D16289" s="7"/>
    </row>
    <row r="16290" spans="3:4" ht="11.25" customHeight="1">
      <c r="C16290" s="7"/>
      <c r="D16290" s="7"/>
    </row>
    <row r="16291" spans="3:4" ht="11.25" customHeight="1">
      <c r="C16291" s="7"/>
      <c r="D16291" s="7"/>
    </row>
    <row r="16292" spans="3:4" ht="11.25" customHeight="1">
      <c r="C16292" s="7"/>
      <c r="D16292" s="7"/>
    </row>
    <row r="16293" spans="3:4" ht="11.25" customHeight="1">
      <c r="C16293" s="7"/>
      <c r="D16293" s="7"/>
    </row>
    <row r="16294" spans="3:4" ht="11.25" customHeight="1">
      <c r="C16294" s="7"/>
      <c r="D16294" s="7"/>
    </row>
    <row r="16295" spans="3:4" ht="11.25" customHeight="1">
      <c r="C16295" s="7"/>
      <c r="D16295" s="7"/>
    </row>
    <row r="16296" spans="3:4" ht="11.25" customHeight="1">
      <c r="C16296" s="7"/>
      <c r="D16296" s="7"/>
    </row>
    <row r="16297" spans="3:4" ht="11.25" customHeight="1">
      <c r="C16297" s="7"/>
      <c r="D16297" s="7"/>
    </row>
    <row r="16298" spans="3:4" ht="11.25" customHeight="1">
      <c r="C16298" s="7"/>
      <c r="D16298" s="7"/>
    </row>
    <row r="16299" spans="3:4" ht="11.25" customHeight="1">
      <c r="C16299" s="7"/>
      <c r="D16299" s="7"/>
    </row>
    <row r="16300" spans="3:4" ht="11.25" customHeight="1">
      <c r="C16300" s="7"/>
      <c r="D16300" s="7"/>
    </row>
    <row r="16301" spans="3:4" ht="11.25" customHeight="1">
      <c r="C16301" s="7"/>
      <c r="D16301" s="7"/>
    </row>
  </sheetData>
  <sheetProtection algorithmName="SHA-512" hashValue="xSY/pEWQeFBiUPXJYEiLmRtxuPY6a/Dh1nQB19gej7iPbCBbkWQUivPPVeHnPVoBC5KENBQ+gb0UYZTaC9D0pQ==" saltValue="fx/aZiNIFIUdJmUDtFjgAg==" spinCount="100000" sheet="1" formatCells="0" formatColumns="0" sort="0" autoFilter="0"/>
  <autoFilter ref="A4:E84" xr:uid="{4DB0DD40-CE7A-473C-8DF8-D5BF3066A1EA}"/>
  <mergeCells count="1">
    <mergeCell ref="B2:E2"/>
  </mergeCells>
  <dataValidations disablePrompts="1" count="4">
    <dataValidation type="list" errorStyle="warning" allowBlank="1" showInputMessage="1" sqref="C16287:D16287 C16293:D16293 C16295:D16295 C16290:D16291" xr:uid="{C9FF70D4-8A96-4BB2-9D2E-B926F37488CE}">
      <formula1>#REF!</formula1>
    </dataValidation>
    <dataValidation type="list" allowBlank="1" showInputMessage="1" showErrorMessage="1" sqref="C16281:D16281 C16272:D16276" xr:uid="{20D2FAEF-CB5A-4908-9137-E3553FD0C0E5}">
      <formula1>#REF!</formula1>
    </dataValidation>
    <dataValidation type="list" allowBlank="1" showInputMessage="1" sqref="C16296:D16296 C16286:D16286 C16292:D16292 C16266:D16266" xr:uid="{205A3207-06AA-429A-8139-1E3056C6E37A}">
      <formula1>#REF!</formula1>
    </dataValidation>
    <dataValidation type="list" allowBlank="1" sqref="C16269:D16269" xr:uid="{E9303B78-C700-45A0-B028-A9323412F9D0}">
      <formula1>#REF!</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disablePrompts="1" count="1">
        <x14:dataValidation type="list" allowBlank="1" showInputMessage="1" errorTitle="Estación no encontrada" error="Ingrese Estación válida" xr:uid="{9938D9CB-ED09-4DAF-BFA1-CB6A9A2B147E}">
          <x14:formula1>
            <xm:f>EstacionReplica!$B$3:$B$491</xm:f>
          </x14:formula1>
          <xm:sqref>C16270:D16270 C16259:D16259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52D44-65EE-4972-9763-5FAA7EB861B5}">
  <sheetPr codeName="Hoja4">
    <tabColor theme="5" tint="0.79998168889431442"/>
  </sheetPr>
  <dimension ref="A1:K4"/>
  <sheetViews>
    <sheetView workbookViewId="0">
      <pane ySplit="2" topLeftCell="A3" activePane="bottomLeft" state="frozen"/>
      <selection pane="bottomLeft" activeCell="D3" sqref="D3"/>
    </sheetView>
  </sheetViews>
  <sheetFormatPr baseColWidth="10" defaultColWidth="11.44140625" defaultRowHeight="14.4"/>
  <cols>
    <col min="1" max="1" width="13.6640625" style="25" bestFit="1" customWidth="1"/>
    <col min="2" max="2" width="14.33203125" style="25" customWidth="1"/>
    <col min="3" max="3" width="11.44140625" style="15"/>
    <col min="4" max="4" width="12.109375" style="25" bestFit="1" customWidth="1"/>
    <col min="5" max="5" width="12.44140625" style="25" bestFit="1" customWidth="1"/>
    <col min="6" max="8" width="11.44140625" style="25"/>
    <col min="9" max="9" width="13.5546875" style="25" customWidth="1"/>
    <col min="10" max="10" width="43.44140625" style="41" customWidth="1"/>
    <col min="11" max="11" width="52.109375" style="25" customWidth="1"/>
  </cols>
  <sheetData>
    <row r="1" spans="1:11">
      <c r="A1"/>
      <c r="B1"/>
      <c r="C1"/>
      <c r="D1" s="87" t="s">
        <v>246</v>
      </c>
      <c r="E1" s="87"/>
      <c r="F1" s="87"/>
      <c r="G1" s="87"/>
      <c r="H1" s="87"/>
      <c r="I1" s="87"/>
      <c r="J1" s="3"/>
      <c r="K1"/>
    </row>
    <row r="2" spans="1:11" ht="28.8">
      <c r="A2" s="75" t="s">
        <v>21</v>
      </c>
      <c r="B2" s="75" t="s">
        <v>58</v>
      </c>
      <c r="C2" s="75" t="s">
        <v>22</v>
      </c>
      <c r="D2" s="75" t="s">
        <v>23</v>
      </c>
      <c r="E2" s="75" t="s">
        <v>24</v>
      </c>
      <c r="F2" s="75" t="s">
        <v>25</v>
      </c>
      <c r="G2" s="75" t="s">
        <v>26</v>
      </c>
      <c r="H2" s="75" t="s">
        <v>27</v>
      </c>
      <c r="I2" s="75" t="s">
        <v>28</v>
      </c>
      <c r="J2" s="21" t="s">
        <v>72</v>
      </c>
      <c r="K2" s="21" t="s">
        <v>75</v>
      </c>
    </row>
    <row r="3" spans="1:11">
      <c r="B3" s="17"/>
      <c r="C3" s="25"/>
      <c r="D3" s="17"/>
      <c r="G3" s="17"/>
      <c r="J3" s="40"/>
    </row>
    <row r="4" spans="1:11">
      <c r="C4" s="25"/>
      <c r="J4" s="40"/>
    </row>
  </sheetData>
  <sheetProtection algorithmName="SHA-512" hashValue="5ONtJdnTb/ApNJgg7tNmdTmAFJn42/h5Q8hysJDC6AhbPONBzS/e6bCdfUTTsYdiofgLIK7PxNUWtZ2rdUmYxg==" saltValue="qUg9fCBDmEhp9AC2RjJWzw==" spinCount="100000" sheet="1" formatCells="0" formatColumns="0" formatRows="0" deleteRows="0" sort="0" autoFilter="0"/>
  <autoFilter ref="A2:K2" xr:uid="{09652D44-65EE-4972-9763-5FAA7EB861B5}"/>
  <mergeCells count="1">
    <mergeCell ref="D1:I1"/>
  </mergeCells>
  <dataValidations count="2">
    <dataValidation type="whole" operator="greaterThanOrEqual" allowBlank="1" showErrorMessage="1" sqref="A3:A1048576 C3:C1048576" xr:uid="{32ECA0E7-26B3-4FBA-979E-A955E7E42E3C}">
      <formula1>1</formula1>
    </dataValidation>
    <dataValidation operator="greaterThanOrEqual" allowBlank="1" showInputMessage="1" showErrorMessage="1" sqref="B3:B1048576" xr:uid="{8AEBCEED-2D98-4E1A-BEAB-56A45DE84F95}"/>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914CE13A-0BD9-4B42-BC78-9750D4E8E591}">
          <x14:formula1>
            <xm:f>ValidacionDatos!$B$5:$B$16</xm:f>
          </x14:formula1>
          <xm:sqref>E3:E1048576 H3:H1048576</xm:sqref>
        </x14:dataValidation>
        <x14:dataValidation type="list" allowBlank="1" showInputMessage="1" showErrorMessage="1" xr:uid="{2F444529-9B96-49D0-B188-E3F4E9A4F142}">
          <x14:formula1>
            <xm:f>ValidacionDatos!$C$5:$C$35</xm:f>
          </x14:formula1>
          <xm:sqref>F3:F1048576 I3:I1048576</xm:sqref>
        </x14:dataValidation>
        <x14:dataValidation type="list" allowBlank="1" showInputMessage="1" showErrorMessage="1" xr:uid="{89478AF9-05F2-45BA-BD2D-41A27066722F}">
          <x14:formula1>
            <xm:f>ValidacionDatos!$A$5:$A$55</xm:f>
          </x14:formula1>
          <xm:sqref>D3:D1048576 G3:G1048576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5">
    <tabColor theme="7" tint="0.79998168889431442"/>
  </sheetPr>
  <dimension ref="A1:W39"/>
  <sheetViews>
    <sheetView zoomScaleNormal="100" workbookViewId="0">
      <pane xSplit="1" ySplit="1" topLeftCell="B2" activePane="bottomRight" state="frozen"/>
      <selection pane="topRight" activeCell="B1" sqref="B1"/>
      <selection pane="bottomLeft" activeCell="A2" sqref="A2"/>
      <selection pane="bottomRight" activeCell="G5" sqref="G5"/>
    </sheetView>
  </sheetViews>
  <sheetFormatPr baseColWidth="10" defaultColWidth="14.44140625" defaultRowHeight="14.4"/>
  <cols>
    <col min="1" max="1" width="21.33203125" style="19" customWidth="1"/>
    <col min="2" max="2" width="20.44140625" style="17" customWidth="1"/>
    <col min="3" max="3" width="21.5546875" style="19" customWidth="1"/>
    <col min="4" max="4" width="13.6640625" style="19" customWidth="1"/>
    <col min="5" max="5" width="38.44140625" style="31" customWidth="1"/>
    <col min="6" max="6" width="11.88671875" style="17" customWidth="1"/>
    <col min="7" max="7" width="16.44140625" style="17" customWidth="1"/>
    <col min="8" max="8" width="11.88671875" style="17" customWidth="1"/>
    <col min="9" max="11" width="13.44140625" style="17" customWidth="1"/>
    <col min="12" max="12" width="18" style="25" customWidth="1"/>
    <col min="13" max="13" width="18.6640625" style="25" customWidth="1"/>
    <col min="14" max="15" width="16.44140625" style="25" customWidth="1"/>
    <col min="16" max="16" width="17.109375" style="17" customWidth="1"/>
    <col min="17" max="17" width="18" style="17" customWidth="1"/>
    <col min="18" max="18" width="15.88671875" style="17" customWidth="1"/>
    <col min="19" max="19" width="16.44140625" style="17" customWidth="1"/>
    <col min="20" max="20" width="19.44140625" style="17" bestFit="1" customWidth="1"/>
    <col min="21" max="22" width="19.6640625" style="17" customWidth="1"/>
    <col min="23" max="23" width="19.88671875" style="27" customWidth="1"/>
    <col min="24" max="16384" width="14.44140625" style="17"/>
  </cols>
  <sheetData>
    <row r="1" spans="1:23" s="4" customFormat="1" ht="43.2">
      <c r="A1" s="51" t="s">
        <v>29</v>
      </c>
      <c r="B1" s="52" t="s">
        <v>80</v>
      </c>
      <c r="C1" s="22" t="s">
        <v>83</v>
      </c>
      <c r="D1" s="22" t="s">
        <v>30</v>
      </c>
      <c r="E1" s="53" t="s">
        <v>88</v>
      </c>
      <c r="F1" s="52" t="s">
        <v>31</v>
      </c>
      <c r="G1" s="52" t="s">
        <v>32</v>
      </c>
      <c r="H1" s="52" t="s">
        <v>33</v>
      </c>
      <c r="I1" s="52" t="s">
        <v>34</v>
      </c>
      <c r="J1" s="52" t="s">
        <v>35</v>
      </c>
      <c r="K1" s="52" t="s">
        <v>36</v>
      </c>
      <c r="L1" s="52" t="s">
        <v>37</v>
      </c>
      <c r="M1" s="52" t="s">
        <v>38</v>
      </c>
      <c r="N1" s="54" t="s">
        <v>39</v>
      </c>
      <c r="O1" s="54" t="s">
        <v>40</v>
      </c>
      <c r="P1" s="52" t="s">
        <v>109</v>
      </c>
      <c r="Q1" s="52" t="s">
        <v>112</v>
      </c>
      <c r="R1" s="52" t="s">
        <v>254</v>
      </c>
      <c r="S1" s="52" t="s">
        <v>118</v>
      </c>
      <c r="T1" s="52" t="s">
        <v>121</v>
      </c>
      <c r="U1" s="52" t="s">
        <v>124</v>
      </c>
      <c r="V1" s="52" t="s">
        <v>874</v>
      </c>
      <c r="W1" s="52" t="s">
        <v>75</v>
      </c>
    </row>
    <row r="2" spans="1:23">
      <c r="H2" s="25"/>
      <c r="J2" s="20"/>
      <c r="K2" s="25"/>
      <c r="L2" s="20"/>
      <c r="M2" s="20"/>
      <c r="N2" s="20"/>
      <c r="O2" s="20"/>
      <c r="P2" s="15"/>
      <c r="Q2" s="15"/>
      <c r="R2" s="15"/>
      <c r="S2" s="15"/>
      <c r="T2" s="15"/>
      <c r="U2" s="15"/>
      <c r="V2" s="15"/>
      <c r="W2" s="15"/>
    </row>
    <row r="3" spans="1:23">
      <c r="B3" s="25"/>
      <c r="C3" s="18"/>
      <c r="D3" s="18"/>
      <c r="E3" s="32"/>
      <c r="F3" s="25"/>
      <c r="G3" s="25"/>
      <c r="H3" s="25"/>
      <c r="I3" s="15"/>
      <c r="J3" s="16"/>
      <c r="K3" s="16"/>
      <c r="L3" s="16"/>
      <c r="M3" s="16"/>
      <c r="N3" s="16"/>
      <c r="O3" s="16"/>
      <c r="P3" s="15"/>
      <c r="Q3" s="15"/>
      <c r="R3" s="15"/>
      <c r="S3" s="15"/>
      <c r="T3" s="15"/>
      <c r="U3" s="15"/>
      <c r="V3" s="15"/>
      <c r="W3" s="15"/>
    </row>
    <row r="4" spans="1:23">
      <c r="B4" s="25"/>
      <c r="C4" s="18"/>
      <c r="D4" s="18"/>
      <c r="E4" s="32"/>
      <c r="F4" s="25"/>
      <c r="G4" s="25"/>
      <c r="H4" s="25"/>
      <c r="I4" s="15"/>
      <c r="J4" s="16"/>
      <c r="K4" s="16"/>
      <c r="L4" s="16"/>
      <c r="M4" s="16"/>
      <c r="N4" s="16"/>
      <c r="O4" s="16"/>
      <c r="P4" s="15"/>
      <c r="Q4" s="15"/>
      <c r="R4" s="15"/>
      <c r="S4" s="15"/>
      <c r="T4" s="15"/>
      <c r="U4" s="15"/>
      <c r="V4" s="15"/>
      <c r="W4" s="15"/>
    </row>
    <row r="5" spans="1:23">
      <c r="B5" s="25"/>
      <c r="C5" s="18"/>
      <c r="D5" s="18"/>
      <c r="E5" s="32"/>
      <c r="F5" s="25"/>
      <c r="G5" s="25"/>
      <c r="H5" s="25"/>
      <c r="I5" s="15"/>
      <c r="J5" s="16"/>
      <c r="K5" s="16"/>
      <c r="L5" s="16"/>
      <c r="M5" s="16"/>
      <c r="N5" s="16"/>
      <c r="O5" s="16"/>
      <c r="P5" s="15"/>
      <c r="Q5" s="15"/>
      <c r="R5" s="15"/>
      <c r="S5" s="15"/>
      <c r="T5" s="15"/>
      <c r="U5" s="15"/>
      <c r="V5" s="15"/>
      <c r="W5" s="15"/>
    </row>
    <row r="6" spans="1:23">
      <c r="B6" s="25"/>
      <c r="C6" s="18"/>
      <c r="D6" s="18"/>
      <c r="E6" s="32"/>
      <c r="F6" s="25"/>
      <c r="G6" s="25"/>
      <c r="H6" s="25"/>
      <c r="I6" s="15"/>
      <c r="J6" s="16"/>
      <c r="K6" s="16"/>
      <c r="L6" s="16"/>
      <c r="M6" s="16"/>
      <c r="N6" s="16"/>
      <c r="O6" s="16"/>
      <c r="P6" s="15"/>
      <c r="Q6" s="15"/>
      <c r="R6" s="15"/>
      <c r="S6" s="15"/>
      <c r="T6" s="15"/>
      <c r="U6" s="15"/>
      <c r="V6" s="15"/>
      <c r="W6" s="15"/>
    </row>
    <row r="7" spans="1:23">
      <c r="I7" s="15"/>
      <c r="J7" s="20"/>
      <c r="K7" s="20"/>
      <c r="L7" s="20"/>
      <c r="M7" s="20"/>
      <c r="N7" s="20"/>
      <c r="O7" s="20"/>
      <c r="P7" s="15"/>
      <c r="Q7" s="15"/>
      <c r="R7" s="15"/>
      <c r="S7" s="15"/>
      <c r="T7" s="15"/>
      <c r="U7" s="15"/>
      <c r="V7" s="15"/>
      <c r="W7" s="15"/>
    </row>
    <row r="8" spans="1:23">
      <c r="I8" s="15"/>
      <c r="J8" s="20"/>
      <c r="K8" s="20"/>
      <c r="L8" s="20"/>
      <c r="M8" s="20"/>
      <c r="N8" s="20"/>
      <c r="O8" s="20"/>
      <c r="P8" s="15"/>
      <c r="Q8" s="15"/>
      <c r="R8" s="15"/>
      <c r="S8" s="15"/>
      <c r="T8" s="15"/>
      <c r="U8" s="15"/>
      <c r="V8" s="15"/>
      <c r="W8" s="15"/>
    </row>
    <row r="9" spans="1:23">
      <c r="B9" s="25"/>
      <c r="C9" s="18"/>
      <c r="D9" s="18"/>
      <c r="E9" s="32"/>
      <c r="F9" s="25"/>
      <c r="G9" s="25"/>
      <c r="H9" s="15"/>
      <c r="I9" s="15"/>
      <c r="J9" s="16"/>
      <c r="K9" s="16"/>
      <c r="L9" s="16"/>
      <c r="M9" s="16"/>
      <c r="N9" s="16"/>
      <c r="O9" s="16"/>
      <c r="P9" s="15"/>
      <c r="Q9" s="15"/>
      <c r="R9" s="15"/>
      <c r="S9" s="15"/>
      <c r="T9" s="15"/>
      <c r="U9" s="15"/>
      <c r="V9" s="15"/>
      <c r="W9" s="15"/>
    </row>
    <row r="10" spans="1:23">
      <c r="B10" s="25"/>
      <c r="C10" s="18"/>
      <c r="D10" s="18"/>
      <c r="E10" s="32"/>
      <c r="F10" s="25"/>
      <c r="G10" s="25"/>
      <c r="H10" s="15"/>
      <c r="I10" s="15"/>
      <c r="J10" s="16"/>
      <c r="K10" s="16"/>
      <c r="L10" s="16"/>
      <c r="M10" s="16"/>
      <c r="N10" s="16"/>
      <c r="O10" s="16"/>
      <c r="P10" s="15"/>
      <c r="Q10" s="15"/>
      <c r="R10" s="15"/>
      <c r="S10" s="15"/>
      <c r="T10" s="15"/>
      <c r="U10" s="15"/>
      <c r="V10" s="15"/>
      <c r="W10" s="15"/>
    </row>
    <row r="11" spans="1:23">
      <c r="B11" s="25"/>
      <c r="C11" s="18"/>
      <c r="D11" s="18"/>
      <c r="E11" s="32"/>
      <c r="F11" s="25"/>
      <c r="G11" s="25"/>
      <c r="H11" s="15"/>
      <c r="I11" s="15"/>
      <c r="J11" s="16"/>
      <c r="K11" s="16"/>
      <c r="L11" s="16"/>
      <c r="M11" s="16"/>
      <c r="N11" s="16"/>
      <c r="O11" s="16"/>
      <c r="P11" s="15"/>
      <c r="Q11" s="15"/>
      <c r="R11" s="15"/>
      <c r="S11" s="15"/>
      <c r="T11" s="15"/>
      <c r="U11" s="15"/>
      <c r="V11" s="15"/>
      <c r="W11" s="15"/>
    </row>
    <row r="12" spans="1:23">
      <c r="B12" s="25"/>
      <c r="C12" s="18"/>
      <c r="D12" s="18"/>
      <c r="E12" s="32"/>
      <c r="F12" s="25"/>
      <c r="G12" s="25"/>
      <c r="H12" s="15"/>
      <c r="I12" s="15"/>
      <c r="J12" s="16"/>
      <c r="K12" s="16"/>
      <c r="L12" s="16"/>
      <c r="M12" s="16"/>
      <c r="N12" s="16"/>
      <c r="O12" s="16"/>
      <c r="P12" s="15"/>
      <c r="Q12" s="15"/>
      <c r="R12" s="15"/>
      <c r="S12" s="15"/>
      <c r="T12" s="15"/>
      <c r="U12" s="15"/>
      <c r="V12" s="15"/>
      <c r="W12" s="15"/>
    </row>
    <row r="13" spans="1:23">
      <c r="B13" s="25"/>
      <c r="C13" s="18"/>
      <c r="D13" s="18"/>
      <c r="E13" s="32"/>
      <c r="F13" s="25"/>
      <c r="G13" s="25"/>
      <c r="H13" s="15"/>
      <c r="I13" s="15"/>
      <c r="J13" s="16"/>
      <c r="K13" s="16"/>
      <c r="L13" s="16"/>
      <c r="M13" s="16"/>
      <c r="N13" s="16"/>
      <c r="O13" s="16"/>
      <c r="P13" s="15"/>
      <c r="Q13" s="15"/>
      <c r="R13" s="15"/>
      <c r="S13" s="15"/>
      <c r="T13" s="15"/>
      <c r="U13" s="15"/>
      <c r="V13" s="15"/>
      <c r="W13" s="26"/>
    </row>
    <row r="14" spans="1:23">
      <c r="B14" s="25"/>
      <c r="C14" s="18"/>
      <c r="D14" s="18"/>
      <c r="E14" s="32"/>
      <c r="F14" s="25"/>
      <c r="G14" s="25"/>
      <c r="H14" s="15"/>
      <c r="I14" s="15"/>
      <c r="J14" s="16"/>
      <c r="K14" s="16"/>
      <c r="L14" s="16"/>
      <c r="M14" s="16"/>
      <c r="N14" s="16"/>
      <c r="O14" s="16"/>
      <c r="P14" s="15"/>
      <c r="Q14" s="15"/>
      <c r="R14" s="15"/>
      <c r="S14" s="15"/>
      <c r="T14" s="15"/>
      <c r="U14" s="15"/>
      <c r="V14" s="15"/>
      <c r="W14" s="26"/>
    </row>
    <row r="15" spans="1:23">
      <c r="B15" s="25"/>
      <c r="C15" s="18"/>
      <c r="D15" s="18"/>
      <c r="E15" s="32"/>
      <c r="F15" s="25"/>
      <c r="G15" s="25"/>
      <c r="H15" s="15"/>
      <c r="I15" s="15"/>
      <c r="J15" s="16"/>
      <c r="K15" s="16"/>
      <c r="L15" s="16"/>
      <c r="M15" s="16"/>
      <c r="N15" s="16"/>
      <c r="O15" s="16"/>
      <c r="P15" s="15"/>
      <c r="Q15" s="15"/>
      <c r="R15" s="15"/>
      <c r="S15" s="15"/>
      <c r="T15" s="15"/>
      <c r="U15" s="15"/>
      <c r="V15" s="15"/>
      <c r="W15" s="26"/>
    </row>
    <row r="16" spans="1:23">
      <c r="B16" s="25"/>
      <c r="C16" s="18"/>
      <c r="D16" s="18"/>
      <c r="E16" s="32"/>
      <c r="F16" s="25"/>
      <c r="G16" s="25"/>
      <c r="H16" s="15"/>
      <c r="I16" s="15"/>
      <c r="J16" s="16"/>
      <c r="K16" s="16"/>
      <c r="L16" s="16"/>
      <c r="M16" s="16"/>
      <c r="N16" s="16"/>
      <c r="O16" s="16"/>
      <c r="P16" s="15"/>
      <c r="Q16" s="15"/>
      <c r="R16" s="15"/>
      <c r="S16" s="15"/>
      <c r="T16" s="15"/>
      <c r="U16" s="15"/>
      <c r="V16" s="15"/>
      <c r="W16" s="26"/>
    </row>
    <row r="17" spans="2:23">
      <c r="B17" s="25"/>
      <c r="C17" s="18"/>
      <c r="D17" s="18"/>
      <c r="E17" s="32"/>
      <c r="F17" s="25"/>
      <c r="G17" s="25"/>
      <c r="H17" s="15"/>
      <c r="I17" s="15"/>
      <c r="J17" s="16"/>
      <c r="K17" s="16"/>
      <c r="L17" s="16"/>
      <c r="M17" s="16"/>
      <c r="N17" s="16"/>
      <c r="O17" s="16"/>
      <c r="P17" s="15"/>
      <c r="Q17" s="15"/>
      <c r="R17" s="15"/>
      <c r="S17" s="15"/>
      <c r="T17" s="15"/>
      <c r="U17" s="15"/>
      <c r="V17" s="15"/>
      <c r="W17" s="26"/>
    </row>
    <row r="18" spans="2:23">
      <c r="B18" s="25"/>
      <c r="C18" s="18"/>
      <c r="D18" s="18"/>
      <c r="E18" s="32"/>
      <c r="F18" s="25"/>
      <c r="G18" s="25"/>
      <c r="H18" s="15"/>
      <c r="I18" s="15"/>
      <c r="J18" s="16"/>
      <c r="K18" s="16"/>
      <c r="L18" s="16"/>
      <c r="M18" s="16"/>
      <c r="N18" s="16"/>
      <c r="O18" s="16"/>
      <c r="P18" s="15"/>
      <c r="Q18" s="15"/>
      <c r="R18" s="15"/>
      <c r="S18" s="15"/>
      <c r="T18" s="15"/>
      <c r="U18" s="15"/>
      <c r="V18" s="15"/>
      <c r="W18" s="26"/>
    </row>
    <row r="19" spans="2:23">
      <c r="B19" s="25"/>
      <c r="C19" s="18"/>
      <c r="D19" s="18"/>
      <c r="E19" s="32"/>
      <c r="F19" s="25"/>
      <c r="G19" s="25"/>
      <c r="H19" s="15"/>
      <c r="I19" s="15"/>
      <c r="J19" s="16"/>
      <c r="K19" s="16"/>
      <c r="L19" s="16"/>
      <c r="M19" s="16"/>
      <c r="N19" s="16"/>
      <c r="O19" s="16"/>
      <c r="P19" s="15"/>
      <c r="Q19" s="15"/>
      <c r="R19" s="15"/>
      <c r="S19" s="15"/>
      <c r="T19" s="15"/>
      <c r="U19" s="15"/>
      <c r="V19" s="15"/>
      <c r="W19" s="26"/>
    </row>
    <row r="20" spans="2:23">
      <c r="B20" s="25"/>
      <c r="C20" s="18"/>
      <c r="D20" s="18"/>
      <c r="E20" s="32"/>
      <c r="F20" s="25"/>
      <c r="G20" s="25"/>
      <c r="H20" s="15"/>
      <c r="I20" s="15"/>
      <c r="J20" s="16"/>
      <c r="K20" s="16"/>
      <c r="L20" s="16"/>
      <c r="M20" s="16"/>
      <c r="N20" s="16"/>
      <c r="O20" s="16"/>
      <c r="P20" s="15"/>
      <c r="Q20" s="15"/>
      <c r="R20" s="15"/>
      <c r="S20" s="15"/>
      <c r="T20" s="15"/>
      <c r="U20" s="15"/>
      <c r="V20" s="15"/>
      <c r="W20" s="26"/>
    </row>
    <row r="21" spans="2:23">
      <c r="B21" s="25"/>
      <c r="C21" s="18"/>
      <c r="D21" s="18"/>
      <c r="E21" s="32"/>
      <c r="F21" s="25"/>
      <c r="G21" s="25"/>
      <c r="H21" s="15"/>
      <c r="I21" s="15"/>
      <c r="J21" s="16"/>
      <c r="K21" s="16"/>
      <c r="L21" s="16"/>
      <c r="M21" s="16"/>
      <c r="N21" s="16"/>
      <c r="O21" s="16"/>
      <c r="P21" s="15"/>
      <c r="Q21" s="15"/>
      <c r="R21" s="15"/>
      <c r="S21" s="15"/>
      <c r="T21" s="15"/>
      <c r="U21" s="15"/>
      <c r="V21" s="15"/>
      <c r="W21" s="26"/>
    </row>
    <row r="22" spans="2:23">
      <c r="B22" s="15"/>
      <c r="C22" s="18"/>
      <c r="D22" s="18"/>
      <c r="E22" s="32"/>
      <c r="F22" s="15"/>
      <c r="G22" s="15"/>
      <c r="H22" s="15"/>
      <c r="I22" s="15"/>
      <c r="J22" s="15"/>
      <c r="K22" s="15"/>
      <c r="L22" s="15"/>
      <c r="M22" s="15"/>
      <c r="N22" s="15"/>
      <c r="O22" s="15"/>
      <c r="P22" s="15"/>
      <c r="Q22" s="15"/>
      <c r="R22" s="15"/>
      <c r="S22" s="15"/>
      <c r="T22" s="15"/>
      <c r="U22" s="15"/>
      <c r="V22" s="15"/>
      <c r="W22" s="26"/>
    </row>
    <row r="23" spans="2:23">
      <c r="B23" s="15"/>
      <c r="C23" s="18"/>
      <c r="D23" s="18"/>
      <c r="E23" s="32"/>
      <c r="F23" s="15"/>
      <c r="G23" s="15"/>
      <c r="H23" s="15"/>
      <c r="I23" s="15"/>
      <c r="J23" s="15"/>
      <c r="K23" s="15"/>
      <c r="L23" s="15"/>
      <c r="M23" s="15"/>
      <c r="N23" s="15"/>
      <c r="O23" s="15"/>
      <c r="P23" s="15"/>
      <c r="Q23" s="15"/>
      <c r="R23" s="15"/>
      <c r="S23" s="15"/>
      <c r="T23" s="15"/>
      <c r="U23" s="15"/>
      <c r="V23" s="15"/>
      <c r="W23" s="26"/>
    </row>
    <row r="24" spans="2:23">
      <c r="B24" s="15"/>
      <c r="C24" s="18"/>
      <c r="D24" s="18"/>
      <c r="E24" s="32"/>
      <c r="F24" s="15"/>
      <c r="G24" s="15"/>
      <c r="H24" s="15"/>
      <c r="I24" s="15"/>
      <c r="J24" s="15"/>
      <c r="K24" s="15"/>
      <c r="L24" s="15"/>
      <c r="M24" s="15"/>
      <c r="N24" s="15"/>
      <c r="O24" s="15"/>
      <c r="P24" s="15"/>
      <c r="Q24" s="15"/>
      <c r="R24" s="15"/>
      <c r="S24" s="15"/>
      <c r="T24" s="15"/>
      <c r="U24" s="15"/>
      <c r="V24" s="15"/>
      <c r="W24" s="26"/>
    </row>
    <row r="25" spans="2:23">
      <c r="B25" s="15"/>
      <c r="C25" s="18"/>
      <c r="D25" s="18"/>
      <c r="E25" s="32"/>
      <c r="F25" s="15"/>
      <c r="G25" s="15"/>
      <c r="H25" s="15"/>
      <c r="I25" s="15"/>
      <c r="J25" s="15"/>
      <c r="K25" s="15"/>
      <c r="L25" s="15"/>
      <c r="M25" s="15"/>
      <c r="N25" s="15"/>
      <c r="O25" s="15"/>
      <c r="P25" s="15"/>
      <c r="Q25" s="15"/>
      <c r="R25" s="15"/>
      <c r="S25" s="15"/>
      <c r="T25" s="15"/>
      <c r="U25" s="15"/>
      <c r="V25" s="15"/>
      <c r="W25" s="26"/>
    </row>
    <row r="26" spans="2:23">
      <c r="B26" s="15"/>
      <c r="C26" s="18"/>
      <c r="D26" s="18"/>
      <c r="E26" s="32"/>
      <c r="F26" s="15"/>
      <c r="G26" s="15"/>
      <c r="H26" s="15"/>
      <c r="I26" s="15"/>
      <c r="J26" s="15"/>
      <c r="K26" s="15"/>
      <c r="L26" s="15"/>
      <c r="M26" s="15"/>
      <c r="N26" s="15"/>
      <c r="O26" s="15"/>
      <c r="P26" s="15"/>
      <c r="Q26" s="15"/>
      <c r="R26" s="15"/>
      <c r="S26" s="15"/>
      <c r="T26" s="15"/>
      <c r="U26" s="15"/>
      <c r="V26" s="15"/>
      <c r="W26" s="26"/>
    </row>
    <row r="27" spans="2:23">
      <c r="B27" s="15"/>
      <c r="C27" s="18"/>
      <c r="D27" s="18"/>
      <c r="E27" s="32"/>
      <c r="F27" s="15"/>
      <c r="G27" s="15"/>
      <c r="H27" s="15"/>
      <c r="I27" s="15"/>
      <c r="J27" s="15"/>
      <c r="K27" s="15"/>
      <c r="L27" s="15"/>
      <c r="M27" s="15"/>
      <c r="N27" s="15"/>
      <c r="O27" s="15"/>
      <c r="P27" s="15"/>
      <c r="Q27" s="15"/>
      <c r="R27" s="15"/>
      <c r="S27" s="15"/>
      <c r="T27" s="15"/>
      <c r="U27" s="15"/>
      <c r="V27" s="15"/>
      <c r="W27" s="26"/>
    </row>
    <row r="28" spans="2:23">
      <c r="B28" s="15"/>
      <c r="C28" s="18"/>
      <c r="D28" s="18"/>
      <c r="E28" s="32"/>
      <c r="F28" s="15"/>
      <c r="G28" s="15"/>
      <c r="H28" s="15"/>
      <c r="I28" s="15"/>
      <c r="J28" s="15"/>
      <c r="K28" s="15"/>
      <c r="L28" s="15"/>
      <c r="M28" s="15"/>
      <c r="N28" s="15"/>
      <c r="O28" s="15"/>
      <c r="P28" s="15"/>
      <c r="Q28" s="15"/>
      <c r="R28" s="15"/>
      <c r="S28" s="15"/>
      <c r="T28" s="15"/>
      <c r="U28" s="15"/>
      <c r="V28" s="15"/>
      <c r="W28" s="26"/>
    </row>
    <row r="29" spans="2:23">
      <c r="B29" s="15"/>
      <c r="C29" s="18"/>
      <c r="D29" s="18"/>
      <c r="E29" s="32"/>
      <c r="F29" s="15"/>
      <c r="G29" s="15"/>
      <c r="H29" s="15"/>
      <c r="I29" s="15"/>
      <c r="J29" s="15"/>
      <c r="K29" s="15"/>
      <c r="L29" s="15"/>
      <c r="M29" s="15"/>
      <c r="N29" s="15"/>
      <c r="O29" s="15"/>
      <c r="P29" s="15"/>
      <c r="Q29" s="15"/>
      <c r="R29" s="15"/>
      <c r="S29" s="15"/>
      <c r="T29" s="15"/>
      <c r="U29" s="15"/>
      <c r="V29" s="15"/>
      <c r="W29" s="26"/>
    </row>
    <row r="30" spans="2:23">
      <c r="B30" s="15"/>
      <c r="C30" s="18"/>
      <c r="D30" s="18"/>
      <c r="E30" s="32"/>
      <c r="F30" s="15"/>
      <c r="G30" s="15"/>
      <c r="H30" s="15"/>
      <c r="I30" s="15"/>
      <c r="J30" s="15"/>
      <c r="K30" s="15"/>
      <c r="L30" s="15"/>
      <c r="M30" s="15"/>
      <c r="N30" s="15"/>
      <c r="O30" s="15"/>
      <c r="P30" s="15"/>
      <c r="Q30" s="15"/>
      <c r="R30" s="15"/>
      <c r="S30" s="15"/>
      <c r="T30" s="15"/>
      <c r="U30" s="15"/>
      <c r="V30" s="15"/>
      <c r="W30" s="26"/>
    </row>
    <row r="31" spans="2:23">
      <c r="B31" s="15"/>
      <c r="C31" s="18"/>
      <c r="D31" s="18"/>
      <c r="E31" s="32"/>
      <c r="F31" s="15"/>
      <c r="G31" s="15"/>
      <c r="H31" s="15"/>
      <c r="I31" s="15"/>
      <c r="J31" s="15"/>
      <c r="K31" s="15"/>
      <c r="L31" s="15"/>
      <c r="M31" s="15"/>
      <c r="N31" s="15"/>
      <c r="O31" s="15"/>
      <c r="P31" s="15"/>
      <c r="Q31" s="15"/>
      <c r="R31" s="15"/>
      <c r="S31" s="15"/>
      <c r="T31" s="15"/>
      <c r="U31" s="15"/>
      <c r="V31" s="15"/>
      <c r="W31" s="26"/>
    </row>
    <row r="32" spans="2:23">
      <c r="B32" s="15"/>
      <c r="C32" s="18"/>
      <c r="D32" s="18"/>
      <c r="E32" s="32"/>
      <c r="F32" s="15"/>
      <c r="G32" s="15"/>
      <c r="H32" s="15"/>
      <c r="I32" s="15"/>
      <c r="J32" s="15"/>
      <c r="K32" s="15"/>
      <c r="L32" s="15"/>
      <c r="M32" s="15"/>
      <c r="N32" s="15"/>
      <c r="O32" s="15"/>
      <c r="P32" s="15"/>
      <c r="Q32" s="15"/>
      <c r="R32" s="15"/>
      <c r="S32" s="15"/>
      <c r="T32" s="15"/>
      <c r="U32" s="15"/>
      <c r="V32" s="15"/>
      <c r="W32" s="26"/>
    </row>
    <row r="33" spans="2:23">
      <c r="B33" s="15"/>
      <c r="C33" s="18"/>
      <c r="D33" s="18"/>
      <c r="E33" s="32"/>
      <c r="F33" s="15"/>
      <c r="G33" s="15"/>
      <c r="H33" s="15"/>
      <c r="I33" s="15"/>
      <c r="J33" s="15"/>
      <c r="K33" s="15"/>
      <c r="L33" s="15"/>
      <c r="M33" s="15"/>
      <c r="N33" s="15"/>
      <c r="O33" s="15"/>
      <c r="P33" s="15"/>
      <c r="Q33" s="15"/>
      <c r="R33" s="15"/>
      <c r="S33" s="15"/>
      <c r="T33" s="15"/>
      <c r="U33" s="15"/>
      <c r="V33" s="15"/>
      <c r="W33" s="26"/>
    </row>
    <row r="34" spans="2:23">
      <c r="B34" s="15"/>
      <c r="C34" s="18"/>
      <c r="D34" s="18"/>
      <c r="E34" s="32"/>
      <c r="F34" s="15"/>
      <c r="G34" s="15"/>
      <c r="H34" s="15"/>
      <c r="I34" s="15"/>
      <c r="J34" s="15"/>
      <c r="K34" s="15"/>
      <c r="L34" s="15"/>
      <c r="M34" s="15"/>
      <c r="N34" s="15"/>
      <c r="O34" s="15"/>
      <c r="P34" s="15"/>
      <c r="Q34" s="15"/>
      <c r="R34" s="15"/>
      <c r="S34" s="15"/>
      <c r="T34" s="15"/>
      <c r="U34" s="15"/>
      <c r="V34" s="15"/>
      <c r="W34" s="26"/>
    </row>
    <row r="35" spans="2:23">
      <c r="B35" s="15"/>
      <c r="C35" s="18"/>
      <c r="D35" s="18"/>
      <c r="E35" s="32"/>
      <c r="F35" s="15"/>
      <c r="G35" s="15"/>
      <c r="H35" s="15"/>
      <c r="I35" s="15"/>
      <c r="J35" s="15"/>
      <c r="K35" s="15"/>
      <c r="L35" s="15"/>
      <c r="M35" s="15"/>
      <c r="N35" s="15"/>
      <c r="O35" s="15"/>
      <c r="P35" s="15"/>
      <c r="Q35" s="15"/>
      <c r="R35" s="15"/>
      <c r="S35" s="15"/>
      <c r="T35" s="15"/>
      <c r="U35" s="15"/>
      <c r="V35" s="15"/>
      <c r="W35" s="26"/>
    </row>
    <row r="36" spans="2:23">
      <c r="B36" s="15"/>
      <c r="C36" s="18"/>
      <c r="D36" s="18"/>
      <c r="E36" s="32"/>
      <c r="F36" s="15"/>
      <c r="G36" s="15"/>
      <c r="H36" s="15"/>
      <c r="I36" s="15"/>
      <c r="J36" s="15"/>
      <c r="K36" s="15"/>
      <c r="L36" s="15"/>
      <c r="M36" s="15"/>
      <c r="N36" s="15"/>
      <c r="O36" s="15"/>
      <c r="P36" s="15"/>
      <c r="Q36" s="15"/>
      <c r="R36" s="15"/>
      <c r="S36" s="15"/>
      <c r="T36" s="15"/>
      <c r="U36" s="15"/>
      <c r="V36" s="15"/>
      <c r="W36" s="26"/>
    </row>
    <row r="37" spans="2:23">
      <c r="B37" s="15"/>
      <c r="C37" s="18"/>
      <c r="D37" s="18"/>
      <c r="E37" s="32"/>
      <c r="F37" s="15"/>
      <c r="G37" s="15"/>
      <c r="H37" s="15"/>
      <c r="I37" s="15"/>
      <c r="J37" s="15"/>
      <c r="K37" s="15"/>
      <c r="L37" s="15"/>
      <c r="M37" s="15"/>
      <c r="N37" s="15"/>
      <c r="O37" s="15"/>
      <c r="P37" s="15"/>
      <c r="Q37" s="15"/>
      <c r="R37" s="15"/>
      <c r="S37" s="15"/>
      <c r="T37" s="15"/>
      <c r="U37" s="15"/>
      <c r="V37" s="15"/>
      <c r="W37" s="26"/>
    </row>
    <row r="38" spans="2:23">
      <c r="B38" s="15"/>
      <c r="C38" s="18"/>
      <c r="D38" s="18"/>
      <c r="E38" s="32"/>
      <c r="F38" s="15"/>
      <c r="G38" s="15"/>
      <c r="H38" s="15"/>
      <c r="I38" s="15"/>
      <c r="J38" s="15"/>
      <c r="K38" s="15"/>
      <c r="L38" s="15"/>
      <c r="M38" s="15"/>
      <c r="N38" s="15"/>
      <c r="O38" s="15"/>
      <c r="P38" s="15"/>
      <c r="Q38" s="15"/>
      <c r="R38" s="15"/>
      <c r="S38" s="15"/>
      <c r="T38" s="15"/>
      <c r="U38" s="15"/>
      <c r="V38" s="15"/>
      <c r="W38" s="26"/>
    </row>
    <row r="39" spans="2:23">
      <c r="B39" s="15"/>
      <c r="C39" s="18"/>
      <c r="D39" s="18"/>
      <c r="E39" s="32"/>
      <c r="F39" s="15"/>
      <c r="G39" s="15"/>
      <c r="H39" s="15"/>
      <c r="I39" s="15"/>
      <c r="J39" s="15"/>
      <c r="K39" s="15"/>
      <c r="L39" s="15"/>
      <c r="M39" s="15"/>
      <c r="N39" s="15"/>
      <c r="O39" s="15"/>
      <c r="P39" s="15"/>
      <c r="Q39" s="15"/>
      <c r="R39" s="15"/>
      <c r="S39" s="15"/>
      <c r="T39" s="15"/>
      <c r="U39" s="15"/>
      <c r="V39" s="15"/>
      <c r="W39" s="26"/>
    </row>
  </sheetData>
  <sheetProtection algorithmName="SHA-512" hashValue="8EKe5wOA7aAA8bElxMBSSycCnot/5LMm5vdat1/0k2GY40YTEBodSgv8tr7oqWA+AQ8njIp7yGrH+PinS/50Tg==" saltValue="5+ooBrZBhJzlRmJ9XJ+Amw==" spinCount="100000" sheet="1" formatCells="0" formatColumns="0" formatRows="0" deleteRows="0" sort="0" autoFilter="0"/>
  <autoFilter ref="A1:W1003" xr:uid="{00000000-0001-0000-0200-000000000000}"/>
  <phoneticPr fontId="9" type="noConversion"/>
  <dataValidations count="4">
    <dataValidation type="whole" operator="greaterThanOrEqual" allowBlank="1" showErrorMessage="1" sqref="D2:D1048576 A2:A1048576" xr:uid="{32356889-8501-438F-8BA1-31440759C208}">
      <formula1>1</formula1>
    </dataValidation>
    <dataValidation type="decimal" operator="greaterThanOrEqual" allowBlank="1" showErrorMessage="1" sqref="F2:I1048576" xr:uid="{4CC564C4-7617-4897-BF20-508C48871AB6}">
      <formula1>0</formula1>
    </dataValidation>
    <dataValidation type="decimal" allowBlank="1" showErrorMessage="1" sqref="J2:J1048576 L2:L1048576 N2:N1048576" xr:uid="{FC310B83-096B-4AE5-BA0C-569A98615AB7}">
      <formula1>-56.27667</formula1>
      <formula2>-17.497776</formula2>
    </dataValidation>
    <dataValidation type="decimal" allowBlank="1" showErrorMessage="1" sqref="K2:K1048576 M2:M1048576 O2:O1048576" xr:uid="{464E070B-E113-4608-8AA4-AA5015BBE22C}">
      <formula1>-109.454869</formula1>
      <formula2>-65.89723511</formula2>
    </dataValidation>
  </dataValidations>
  <pageMargins left="0.7" right="0.7" top="0.75" bottom="0.75" header="0" footer="0"/>
  <pageSetup paperSize="9" orientation="portrait" r:id="rId1"/>
  <extLst>
    <ext xmlns:x14="http://schemas.microsoft.com/office/spreadsheetml/2009/9/main" uri="{CCE6A557-97BC-4b89-ADB6-D9C93CAAB3DF}">
      <x14:dataValidations xmlns:xm="http://schemas.microsoft.com/office/excel/2006/main" count="7">
        <x14:dataValidation type="list" allowBlank="1" showInputMessage="1" showErrorMessage="1" xr:uid="{B99B8249-D73C-4B9A-9697-D9EC4673AF7D}">
          <x14:formula1>
            <xm:f>ValidacionDatos!$D$5:$D$20</xm:f>
          </x14:formula1>
          <xm:sqref>P2:P1048576</xm:sqref>
        </x14:dataValidation>
        <x14:dataValidation type="list" allowBlank="1" showInputMessage="1" showErrorMessage="1" xr:uid="{B77EF224-002B-4A23-BBDB-E69057B0E8C2}">
          <x14:formula1>
            <xm:f>ValidacionDatos!$E$5:$E$61</xm:f>
          </x14:formula1>
          <xm:sqref>Q2:Q1048576</xm:sqref>
        </x14:dataValidation>
        <x14:dataValidation type="list" allowBlank="1" showInputMessage="1" showErrorMessage="1" xr:uid="{77D7A105-29C7-445E-B4BF-2A4321995C31}">
          <x14:formula1>
            <xm:f>ValidacionDatos!$F$5:$F$350</xm:f>
          </x14:formula1>
          <xm:sqref>R2:R1048576</xm:sqref>
        </x14:dataValidation>
        <x14:dataValidation type="list" errorStyle="warning" allowBlank="1" showInputMessage="1" xr:uid="{481C4245-481E-4441-AD74-E9E68A9FD1CE}">
          <x14:formula1>
            <xm:f>ValidacionDatos!$H$5:$H$17</xm:f>
          </x14:formula1>
          <xm:sqref>T2:T1048576</xm:sqref>
        </x14:dataValidation>
        <x14:dataValidation type="list" allowBlank="1" showInputMessage="1" xr:uid="{5B07DE10-D78B-40B4-8AA0-8DD5515B5615}">
          <x14:formula1>
            <xm:f>ValidacionDatos!$I$5:$I$40</xm:f>
          </x14:formula1>
          <xm:sqref>U2:U1048576</xm:sqref>
        </x14:dataValidation>
        <x14:dataValidation type="list" allowBlank="1" showInputMessage="1" xr:uid="{1241CF25-4802-41C8-BC1C-B3CF222107B2}">
          <x14:formula1>
            <xm:f>ValidacionDatos!$G$5:$G$9</xm:f>
          </x14:formula1>
          <xm:sqref>C2:C1048576</xm:sqref>
        </x14:dataValidation>
        <x14:dataValidation type="list" allowBlank="1" showInputMessage="1" xr:uid="{704E4EC5-B85F-4FFD-9D68-98595B6A18F2}">
          <x14:formula1>
            <xm:f>ValidacionDatos!$J$5:$J$14</xm:f>
          </x14:formula1>
          <xm:sqref>V2:V1048576</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487ED-BCAD-450C-9308-54B3ABE2D63E}">
  <sheetPr>
    <tabColor theme="9" tint="0.79998168889431442"/>
  </sheetPr>
  <dimension ref="A1:AU3"/>
  <sheetViews>
    <sheetView tabSelected="1" zoomScaleNormal="100" workbookViewId="0">
      <pane ySplit="2" topLeftCell="A3" activePane="bottomLeft" state="frozen"/>
      <selection pane="bottomLeft" activeCell="D3" sqref="D3"/>
    </sheetView>
  </sheetViews>
  <sheetFormatPr baseColWidth="10" defaultRowHeight="14.4"/>
  <cols>
    <col min="1" max="1" width="14.33203125" style="25" customWidth="1"/>
    <col min="2" max="2" width="20.88671875" style="25" customWidth="1"/>
    <col min="3" max="3" width="23.109375" style="25" customWidth="1"/>
    <col min="4" max="4" width="28" style="25" bestFit="1" customWidth="1"/>
    <col min="5" max="5" width="12.88671875" style="25" customWidth="1"/>
    <col min="6" max="6" width="12.109375" style="25" customWidth="1"/>
    <col min="7" max="7" width="13.44140625" style="25" customWidth="1"/>
    <col min="8" max="8" width="20.6640625" style="25" customWidth="1"/>
    <col min="9" max="9" width="23.88671875" style="25" customWidth="1"/>
    <col min="10" max="10" width="12.109375" style="25" customWidth="1"/>
    <col min="11" max="11" width="15.33203125" style="25" customWidth="1"/>
    <col min="12" max="12" width="18.6640625" style="25" customWidth="1"/>
    <col min="13" max="13" width="14.33203125" style="25" bestFit="1" customWidth="1"/>
    <col min="14" max="14" width="13.109375" style="25" customWidth="1"/>
    <col min="15" max="15" width="12.109375" style="25" customWidth="1"/>
    <col min="16" max="16" width="15" style="25" customWidth="1"/>
    <col min="17" max="18" width="12.109375" style="25" customWidth="1"/>
    <col min="19" max="19" width="13.44140625" style="25" customWidth="1"/>
    <col min="20" max="22" width="12.109375" style="25" customWidth="1"/>
    <col min="23" max="23" width="18.33203125" style="25" customWidth="1"/>
    <col min="24" max="24" width="19.44140625" style="25" customWidth="1"/>
    <col min="25" max="25" width="12.109375" style="25" customWidth="1"/>
    <col min="26" max="26" width="19.6640625" style="25" customWidth="1"/>
    <col min="27" max="28" width="15.5546875" style="25" customWidth="1"/>
    <col min="29" max="29" width="21" style="25" customWidth="1"/>
    <col min="30" max="30" width="12.109375" style="25"/>
    <col min="31" max="31" width="23.6640625" style="25" customWidth="1"/>
    <col min="32" max="34" width="12.33203125" style="25" customWidth="1"/>
    <col min="35" max="35" width="16.6640625" style="25" customWidth="1"/>
    <col min="36" max="36" width="12.109375" style="25"/>
    <col min="37" max="37" width="14" style="25" customWidth="1"/>
    <col min="38" max="38" width="14.33203125" style="25" customWidth="1"/>
    <col min="39" max="39" width="23.5546875" style="25" customWidth="1"/>
    <col min="40" max="40" width="15.44140625" style="25" customWidth="1"/>
    <col min="41" max="42" width="16.88671875" style="25" customWidth="1"/>
    <col min="43" max="43" width="19.33203125" style="25" customWidth="1"/>
    <col min="44" max="45" width="20.88671875" style="25" bestFit="1" customWidth="1"/>
    <col min="46" max="46" width="18.44140625" style="25" customWidth="1"/>
    <col min="47" max="47" width="19.109375" style="25" customWidth="1"/>
  </cols>
  <sheetData>
    <row r="1" spans="1:47" ht="28.8">
      <c r="A1" s="55" t="s">
        <v>12</v>
      </c>
      <c r="B1" s="38"/>
      <c r="C1" s="52" t="s">
        <v>247</v>
      </c>
      <c r="D1" s="56"/>
      <c r="E1" s="57" t="s">
        <v>248</v>
      </c>
      <c r="F1" s="58"/>
      <c r="G1" s="58"/>
      <c r="H1" s="58"/>
      <c r="I1" s="58"/>
      <c r="J1" s="58"/>
      <c r="K1" s="58"/>
      <c r="L1" s="58"/>
      <c r="M1" s="58"/>
      <c r="N1" s="59"/>
      <c r="O1" s="60" t="s">
        <v>249</v>
      </c>
      <c r="P1" s="61"/>
      <c r="Q1" s="61"/>
      <c r="R1" s="61"/>
      <c r="S1" s="61"/>
      <c r="T1" s="61"/>
      <c r="U1" s="61"/>
      <c r="V1" s="61"/>
      <c r="W1" s="61"/>
      <c r="X1" s="61"/>
      <c r="Y1" s="61"/>
      <c r="Z1" s="62" t="s">
        <v>250</v>
      </c>
      <c r="AA1" s="63"/>
      <c r="AB1" s="63"/>
      <c r="AC1" s="58"/>
      <c r="AD1" s="58"/>
      <c r="AE1" s="58"/>
      <c r="AF1" s="64"/>
      <c r="AG1" s="64"/>
      <c r="AH1" s="64"/>
      <c r="AI1" s="58"/>
      <c r="AJ1" s="58"/>
      <c r="AK1" s="58"/>
      <c r="AL1" s="58"/>
      <c r="AM1" s="58"/>
      <c r="AN1" s="58"/>
      <c r="AO1" s="58"/>
      <c r="AP1" s="58"/>
      <c r="AQ1" s="59"/>
      <c r="AR1" s="62" t="s">
        <v>251</v>
      </c>
      <c r="AS1" s="58"/>
      <c r="AT1" s="59"/>
      <c r="AU1" s="38"/>
    </row>
    <row r="2" spans="1:47" ht="43.2">
      <c r="A2" s="21" t="s">
        <v>21</v>
      </c>
      <c r="B2" s="65" t="s">
        <v>252</v>
      </c>
      <c r="C2" s="66" t="s">
        <v>29</v>
      </c>
      <c r="D2" s="67" t="s">
        <v>129</v>
      </c>
      <c r="E2" s="68" t="s">
        <v>41</v>
      </c>
      <c r="F2" s="39" t="s">
        <v>42</v>
      </c>
      <c r="G2" s="39" t="s">
        <v>43</v>
      </c>
      <c r="H2" s="39" t="s">
        <v>44</v>
      </c>
      <c r="I2" s="39" t="s">
        <v>139</v>
      </c>
      <c r="J2" s="39" t="s">
        <v>46</v>
      </c>
      <c r="K2" s="39" t="s">
        <v>144</v>
      </c>
      <c r="L2" s="39" t="s">
        <v>147</v>
      </c>
      <c r="M2" s="39" t="s">
        <v>47</v>
      </c>
      <c r="N2" s="69" t="s">
        <v>152</v>
      </c>
      <c r="O2" s="70" t="s">
        <v>155</v>
      </c>
      <c r="P2" s="71" t="s">
        <v>158</v>
      </c>
      <c r="Q2" s="71" t="s">
        <v>161</v>
      </c>
      <c r="R2" s="71" t="s">
        <v>164</v>
      </c>
      <c r="S2" s="71" t="s">
        <v>167</v>
      </c>
      <c r="T2" s="71" t="s">
        <v>170</v>
      </c>
      <c r="U2" s="71" t="s">
        <v>173</v>
      </c>
      <c r="V2" s="71" t="s">
        <v>176</v>
      </c>
      <c r="W2" s="71" t="s">
        <v>179</v>
      </c>
      <c r="X2" s="71" t="s">
        <v>182</v>
      </c>
      <c r="Y2" s="71" t="s">
        <v>185</v>
      </c>
      <c r="Z2" s="70" t="s">
        <v>188</v>
      </c>
      <c r="AA2" s="71" t="s">
        <v>191</v>
      </c>
      <c r="AB2" s="71" t="s">
        <v>194</v>
      </c>
      <c r="AC2" s="71" t="s">
        <v>197</v>
      </c>
      <c r="AD2" s="71" t="s">
        <v>48</v>
      </c>
      <c r="AE2" s="71" t="s">
        <v>202</v>
      </c>
      <c r="AF2" s="71" t="s">
        <v>49</v>
      </c>
      <c r="AG2" s="71" t="s">
        <v>50</v>
      </c>
      <c r="AH2" s="71" t="s">
        <v>51</v>
      </c>
      <c r="AI2" s="71" t="s">
        <v>211</v>
      </c>
      <c r="AJ2" s="71" t="s">
        <v>214</v>
      </c>
      <c r="AK2" s="71" t="s">
        <v>217</v>
      </c>
      <c r="AL2" s="71" t="s">
        <v>220</v>
      </c>
      <c r="AM2" s="71" t="s">
        <v>223</v>
      </c>
      <c r="AN2" s="71" t="s">
        <v>226</v>
      </c>
      <c r="AO2" s="71" t="s">
        <v>229</v>
      </c>
      <c r="AP2" s="72" t="s">
        <v>909</v>
      </c>
      <c r="AQ2" s="73" t="s">
        <v>232</v>
      </c>
      <c r="AR2" s="70" t="s">
        <v>235</v>
      </c>
      <c r="AS2" s="71" t="s">
        <v>238</v>
      </c>
      <c r="AT2" s="73" t="s">
        <v>240</v>
      </c>
      <c r="AU2" s="74" t="s">
        <v>243</v>
      </c>
    </row>
    <row r="3" spans="1:47">
      <c r="B3" s="25" t="str">
        <f>IF(A3="","",IFERROR(VLOOKUP(A3,Campaña!$A$2:$K$100000,2,0),"ID NO EXISTE"))</f>
        <v/>
      </c>
      <c r="D3" s="25" t="str">
        <f>IF(C3="","",IFERROR(CONCATENATE(VLOOKUP(C3,EstacionReplica!$A$1:$W$100000,2,0)," - ",VLOOKUP(C3,EstacionReplica!$A$1:$W$100000,3,0)," - ",VLOOKUP(C3,EstacionReplica!$A$1:$W$100000,4,0)),"ID NO EXISTE"))</f>
        <v/>
      </c>
    </row>
  </sheetData>
  <sheetProtection algorithmName="SHA-512" hashValue="UupoAJPF91LaqK9dVMcdf56pRlfI0SprAdks+vyHL8/eoGmKVD3fkacFsvc6vWw1cFDkfbLtPqzTm+yYofWYgg==" saltValue="A2/RULOZV/GfgatSlBJeEg==" spinCount="100000" sheet="1" formatCells="0" formatColumns="0" formatRows="0" deleteRows="0" sort="0" autoFilter="0"/>
  <autoFilter ref="A2:AU2" xr:uid="{EC7487ED-BCAD-450C-9308-54B3ABE2D63E}"/>
  <dataValidations count="1">
    <dataValidation allowBlank="1" showInputMessage="1" sqref="AP3:AP1048576" xr:uid="{CDC334AB-FB78-417B-9BFC-B95C38F32B71}"/>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7">
        <x14:dataValidation type="list" allowBlank="1" xr:uid="{F1212421-A436-4D06-A4E8-6BC9AD6FB391}">
          <x14:formula1>
            <xm:f>ValidacionDatos!$N$5:$N$121</xm:f>
          </x14:formula1>
          <xm:sqref>P3:P1048576</xm:sqref>
        </x14:dataValidation>
        <x14:dataValidation type="list" allowBlank="1" showInputMessage="1" showErrorMessage="1" xr:uid="{44E90E1B-702C-4BD2-A50D-EB1C160DE4F0}">
          <x14:formula1>
            <xm:f>ValidacionDatos!$O$5:$O$9</xm:f>
          </x14:formula1>
          <xm:sqref>Z3:Z1048576</xm:sqref>
        </x14:dataValidation>
        <x14:dataValidation type="list" allowBlank="1" showInputMessage="1" xr:uid="{0291A6D0-648E-4F4E-9A87-12F6A49477B7}">
          <x14:formula1>
            <xm:f>ValidacionDatos!$Q$5:$Q$15</xm:f>
          </x14:formula1>
          <xm:sqref>AC3:AC1048576</xm:sqref>
        </x14:dataValidation>
        <x14:dataValidation type="list" allowBlank="1" showInputMessage="1" xr:uid="{A4545387-1FCA-42E1-A72F-615D6D5557F0}">
          <x14:formula1>
            <xm:f>ValidacionDatos!$P$5:$P$8</xm:f>
          </x14:formula1>
          <xm:sqref>AB3:AB1048576</xm:sqref>
        </x14:dataValidation>
        <x14:dataValidation type="list" allowBlank="1" showInputMessage="1" xr:uid="{0F82CCE5-1997-4E33-97A2-EE125B2977B9}">
          <x14:formula1>
            <xm:f>ValidacionDatos!$R$5:$R$22</xm:f>
          </x14:formula1>
          <xm:sqref>AI3:AI1048576</xm:sqref>
        </x14:dataValidation>
        <x14:dataValidation type="list" allowBlank="1" showInputMessage="1" showErrorMessage="1" xr:uid="{0AFDE0DD-AB8C-4359-8321-608FE1A0DCBC}">
          <x14:formula1>
            <xm:f>ValidacionDatos!$S$5:$S$9</xm:f>
          </x14:formula1>
          <xm:sqref>AJ3:AJ1048576</xm:sqref>
        </x14:dataValidation>
        <x14:dataValidation type="list" allowBlank="1" showInputMessage="1" xr:uid="{94FCCAF3-E891-45BB-8AD0-2293CFB15D73}">
          <x14:formula1>
            <xm:f>ValidacionDatos!$T$5:$T$12</xm:f>
          </x14:formula1>
          <xm:sqref>AK3:AK1048576</xm:sqref>
        </x14:dataValidation>
        <x14:dataValidation type="list" allowBlank="1" showInputMessage="1" xr:uid="{FBAB25AF-F7B0-468F-90D1-1E6968ECAD58}">
          <x14:formula1>
            <xm:f>ValidacionDatos!$U$5:$U$21</xm:f>
          </x14:formula1>
          <xm:sqref>AL3:AL1048576</xm:sqref>
        </x14:dataValidation>
        <x14:dataValidation type="list" allowBlank="1" showInputMessage="1" xr:uid="{9C6DF32E-951F-451B-9DC8-F31117A67DDA}">
          <x14:formula1>
            <xm:f>ValidacionDatos!$V$5:$V$19</xm:f>
          </x14:formula1>
          <xm:sqref>AM3:AM1048576</xm:sqref>
        </x14:dataValidation>
        <x14:dataValidation type="list" allowBlank="1" showInputMessage="1" xr:uid="{9AE0236C-6DDF-4D49-B418-88EE6788004F}">
          <x14:formula1>
            <xm:f>ValidacionDatos!$W$5:$W$15</xm:f>
          </x14:formula1>
          <xm:sqref>AO3:AO1048576</xm:sqref>
        </x14:dataValidation>
        <x14:dataValidation type="list" allowBlank="1" showInputMessage="1" showErrorMessage="1" xr:uid="{34DC36C6-37E9-4AF5-BB92-1177E81B0C22}">
          <x14:formula1>
            <xm:f>ValidacionDatos!$M$5:$M$10</xm:f>
          </x14:formula1>
          <xm:sqref>O3:O1048576</xm:sqref>
        </x14:dataValidation>
        <x14:dataValidation type="list" allowBlank="1" showInputMessage="1" xr:uid="{AE01CC3F-E6D4-4B3D-BE5B-CCF68571914D}">
          <x14:formula1>
            <xm:f>ValidacionDatos!$X$5:$X$54</xm:f>
          </x14:formula1>
          <xm:sqref>AE3:AE1048576</xm:sqref>
        </x14:dataValidation>
        <x14:dataValidation type="list" allowBlank="1" promptTitle="asdas" prompt="asdas" xr:uid="{0F9F4D9B-B778-4DDB-9762-1FBDB26FCF2A}">
          <x14:formula1>
            <xm:f>ValidacionDatos!$K$5:$K$47</xm:f>
          </x14:formula1>
          <xm:sqref>I3:I1048576</xm:sqref>
        </x14:dataValidation>
        <x14:dataValidation type="list" allowBlank="1" showInputMessage="1" xr:uid="{1CC38B7F-C256-4FDB-ABF6-B09DA1B3FD6F}">
          <x14:formula1>
            <xm:f>ValidacionDatos!$L$5:$L$14</xm:f>
          </x14:formula1>
          <xm:sqref>K3:K1048576</xm:sqref>
        </x14:dataValidation>
        <x14:dataValidation type="list" allowBlank="1" showInputMessage="1" showErrorMessage="1" xr:uid="{7DD1F7E9-34DD-4378-92E3-4E43E5C4CF39}">
          <x14:formula1>
            <xm:f>ValidacionDatos!$A$5:$A$55</xm:f>
          </x14:formula1>
          <xm:sqref>E3:E1048576</xm:sqref>
        </x14:dataValidation>
        <x14:dataValidation type="list" allowBlank="1" showInputMessage="1" showErrorMessage="1" xr:uid="{633EBD36-65ED-48EA-A18C-E7B0C145C286}">
          <x14:formula1>
            <xm:f>ValidacionDatos!$B$5:$B$16</xm:f>
          </x14:formula1>
          <xm:sqref>F3:F1048576</xm:sqref>
        </x14:dataValidation>
        <x14:dataValidation type="list" allowBlank="1" showInputMessage="1" showErrorMessage="1" xr:uid="{22142DAA-211F-4E4E-B2DD-6971A8ADF98B}">
          <x14:formula1>
            <xm:f>ValidacionDatos!$C$5:$C$35</xm:f>
          </x14:formula1>
          <xm:sqref>G3:G1048576</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CBCD8-1B26-4415-86F5-27B50A71E4F4}">
  <dimension ref="A1:X350"/>
  <sheetViews>
    <sheetView zoomScale="85" zoomScaleNormal="85" workbookViewId="0">
      <pane ySplit="4" topLeftCell="A27" activePane="bottomLeft" state="frozen"/>
      <selection pane="bottomLeft" activeCell="F38" sqref="F38"/>
    </sheetView>
  </sheetViews>
  <sheetFormatPr baseColWidth="10" defaultColWidth="11.44140625" defaultRowHeight="14.4"/>
  <cols>
    <col min="1" max="1" width="13.88671875" customWidth="1"/>
    <col min="7" max="7" width="12.88671875" style="2" customWidth="1"/>
    <col min="8" max="8" width="38.5546875" style="2" customWidth="1"/>
    <col min="9" max="10" width="27.109375" style="2" customWidth="1"/>
    <col min="11" max="11" width="37.33203125" style="2" bestFit="1" customWidth="1"/>
    <col min="12" max="16" width="14.33203125" style="2" customWidth="1"/>
    <col min="17" max="17" width="36.6640625" style="2" customWidth="1"/>
    <col min="18" max="18" width="26" style="2" bestFit="1" customWidth="1"/>
    <col min="19" max="23" width="14.33203125" style="2" customWidth="1"/>
    <col min="24" max="24" width="11.44140625" style="2"/>
  </cols>
  <sheetData>
    <row r="1" spans="1:24" ht="23.4">
      <c r="A1" s="1" t="s">
        <v>873</v>
      </c>
    </row>
    <row r="2" spans="1:24" ht="42.75" customHeight="1">
      <c r="A2" s="49" t="s">
        <v>18</v>
      </c>
      <c r="B2" s="85" t="s">
        <v>872</v>
      </c>
      <c r="C2" s="85"/>
      <c r="D2" s="85"/>
      <c r="E2" s="85"/>
      <c r="F2" s="85"/>
      <c r="G2" s="85"/>
      <c r="H2" s="85"/>
    </row>
    <row r="3" spans="1:24" ht="15" customHeight="1">
      <c r="G3" s="43"/>
      <c r="H3" s="43"/>
      <c r="I3" s="43"/>
      <c r="J3" s="43"/>
      <c r="K3" s="43"/>
      <c r="L3" s="43"/>
      <c r="M3" s="43"/>
      <c r="N3" s="43"/>
      <c r="O3" s="43"/>
      <c r="P3" s="43"/>
      <c r="Q3" s="43"/>
      <c r="R3" s="43"/>
      <c r="S3" s="43"/>
      <c r="T3" s="43"/>
      <c r="U3" s="43"/>
      <c r="V3" s="43"/>
      <c r="W3" s="43"/>
    </row>
    <row r="4" spans="1:24" ht="43.2">
      <c r="A4" s="48" t="s">
        <v>255</v>
      </c>
      <c r="B4" s="48" t="s">
        <v>256</v>
      </c>
      <c r="C4" s="48" t="s">
        <v>257</v>
      </c>
      <c r="D4" s="47" t="s">
        <v>253</v>
      </c>
      <c r="E4" s="47" t="s">
        <v>112</v>
      </c>
      <c r="F4" s="47" t="s">
        <v>254</v>
      </c>
      <c r="G4" s="22" t="s">
        <v>83</v>
      </c>
      <c r="H4" s="22" t="s">
        <v>121</v>
      </c>
      <c r="I4" s="22" t="s">
        <v>124</v>
      </c>
      <c r="J4" s="22" t="s">
        <v>874</v>
      </c>
      <c r="K4" s="39" t="s">
        <v>139</v>
      </c>
      <c r="L4" s="39" t="s">
        <v>144</v>
      </c>
      <c r="M4" s="46" t="s">
        <v>155</v>
      </c>
      <c r="N4" s="39" t="s">
        <v>158</v>
      </c>
      <c r="O4" s="46" t="s">
        <v>188</v>
      </c>
      <c r="P4" s="39" t="s">
        <v>194</v>
      </c>
      <c r="Q4" s="39" t="s">
        <v>197</v>
      </c>
      <c r="R4" s="39" t="s">
        <v>211</v>
      </c>
      <c r="S4" s="46" t="s">
        <v>214</v>
      </c>
      <c r="T4" s="39" t="s">
        <v>217</v>
      </c>
      <c r="U4" s="39" t="s">
        <v>220</v>
      </c>
      <c r="V4" s="39" t="s">
        <v>223</v>
      </c>
      <c r="W4" s="39" t="s">
        <v>229</v>
      </c>
      <c r="X4" s="80" t="s">
        <v>202</v>
      </c>
    </row>
    <row r="5" spans="1:24">
      <c r="A5">
        <v>1980</v>
      </c>
      <c r="B5">
        <v>1</v>
      </c>
      <c r="C5">
        <v>1</v>
      </c>
      <c r="D5" t="s">
        <v>258</v>
      </c>
      <c r="E5" t="s">
        <v>259</v>
      </c>
      <c r="F5" t="s">
        <v>260</v>
      </c>
      <c r="G5" s="44" t="s">
        <v>663</v>
      </c>
      <c r="H5" s="44" t="s">
        <v>745</v>
      </c>
      <c r="I5" s="2" t="s">
        <v>728</v>
      </c>
      <c r="J5" s="44" t="s">
        <v>876</v>
      </c>
      <c r="K5" s="44" t="s">
        <v>788</v>
      </c>
      <c r="L5" s="44" t="s">
        <v>654</v>
      </c>
      <c r="M5" s="44" t="s">
        <v>655</v>
      </c>
      <c r="N5" s="76" t="s">
        <v>656</v>
      </c>
      <c r="O5" s="2" t="s">
        <v>865</v>
      </c>
      <c r="P5" s="44" t="s">
        <v>664</v>
      </c>
      <c r="Q5" s="44" t="s">
        <v>679</v>
      </c>
      <c r="R5" s="44" t="s">
        <v>699</v>
      </c>
      <c r="S5" s="44" t="s">
        <v>658</v>
      </c>
      <c r="T5" s="44" t="s">
        <v>659</v>
      </c>
      <c r="U5" s="44" t="s">
        <v>660</v>
      </c>
      <c r="V5" s="44" t="s">
        <v>750</v>
      </c>
      <c r="W5" s="44" t="s">
        <v>676</v>
      </c>
      <c r="X5" s="82" t="s">
        <v>995</v>
      </c>
    </row>
    <row r="6" spans="1:24">
      <c r="A6">
        <v>1981</v>
      </c>
      <c r="B6">
        <v>2</v>
      </c>
      <c r="C6">
        <v>2</v>
      </c>
      <c r="D6" t="s">
        <v>261</v>
      </c>
      <c r="E6" t="s">
        <v>262</v>
      </c>
      <c r="F6" t="s">
        <v>263</v>
      </c>
      <c r="G6" s="44" t="s">
        <v>677</v>
      </c>
      <c r="H6" s="44" t="s">
        <v>736</v>
      </c>
      <c r="I6" s="2" t="s">
        <v>737</v>
      </c>
      <c r="J6" s="44" t="s">
        <v>877</v>
      </c>
      <c r="K6" s="44" t="s">
        <v>717</v>
      </c>
      <c r="L6" s="44" t="s">
        <v>668</v>
      </c>
      <c r="M6" s="82" t="s">
        <v>942</v>
      </c>
      <c r="N6" s="76" t="s">
        <v>670</v>
      </c>
      <c r="O6" s="2" t="s">
        <v>866</v>
      </c>
      <c r="P6" s="44" t="s">
        <v>678</v>
      </c>
      <c r="Q6" s="44" t="s">
        <v>693</v>
      </c>
      <c r="R6" s="44" t="s">
        <v>721</v>
      </c>
      <c r="S6" s="44" t="s">
        <v>672</v>
      </c>
      <c r="T6" s="44" t="s">
        <v>673</v>
      </c>
      <c r="U6" s="44" t="s">
        <v>674</v>
      </c>
      <c r="V6" s="44" t="s">
        <v>661</v>
      </c>
      <c r="W6" s="44" t="s">
        <v>690</v>
      </c>
      <c r="X6" s="82" t="s">
        <v>996</v>
      </c>
    </row>
    <row r="7" spans="1:24">
      <c r="A7">
        <v>1982</v>
      </c>
      <c r="B7">
        <v>3</v>
      </c>
      <c r="C7">
        <v>3</v>
      </c>
      <c r="D7" t="s">
        <v>264</v>
      </c>
      <c r="E7" t="s">
        <v>264</v>
      </c>
      <c r="F7" t="s">
        <v>265</v>
      </c>
      <c r="G7" s="44" t="s">
        <v>691</v>
      </c>
      <c r="H7" s="44" t="s">
        <v>869</v>
      </c>
      <c r="I7" s="2" t="s">
        <v>831</v>
      </c>
      <c r="J7" s="44" t="s">
        <v>878</v>
      </c>
      <c r="K7" s="44" t="s">
        <v>680</v>
      </c>
      <c r="L7" s="44" t="s">
        <v>682</v>
      </c>
      <c r="M7" s="44" t="s">
        <v>669</v>
      </c>
      <c r="N7" s="76" t="s">
        <v>684</v>
      </c>
      <c r="O7" s="2" t="s">
        <v>867</v>
      </c>
      <c r="P7" s="44" t="s">
        <v>692</v>
      </c>
      <c r="Q7" s="44" t="s">
        <v>885</v>
      </c>
      <c r="R7" s="44" t="s">
        <v>657</v>
      </c>
      <c r="S7" s="44" t="s">
        <v>686</v>
      </c>
      <c r="T7" s="45" t="s">
        <v>687</v>
      </c>
      <c r="U7" s="44" t="s">
        <v>713</v>
      </c>
      <c r="V7" s="44" t="s">
        <v>675</v>
      </c>
      <c r="W7" s="45" t="s">
        <v>662</v>
      </c>
      <c r="X7" s="82" t="s">
        <v>997</v>
      </c>
    </row>
    <row r="8" spans="1:24">
      <c r="A8">
        <v>1983</v>
      </c>
      <c r="B8">
        <v>4</v>
      </c>
      <c r="C8">
        <v>4</v>
      </c>
      <c r="D8" t="s">
        <v>266</v>
      </c>
      <c r="E8" t="s">
        <v>267</v>
      </c>
      <c r="F8" t="s">
        <v>268</v>
      </c>
      <c r="G8" s="44" t="s">
        <v>703</v>
      </c>
      <c r="H8" s="44" t="s">
        <v>652</v>
      </c>
      <c r="I8" s="2" t="s">
        <v>762</v>
      </c>
      <c r="J8" s="44" t="s">
        <v>879</v>
      </c>
      <c r="K8" s="81" t="s">
        <v>931</v>
      </c>
      <c r="L8" s="44" t="s">
        <v>1049</v>
      </c>
      <c r="M8" s="44" t="s">
        <v>683</v>
      </c>
      <c r="N8" s="76" t="s">
        <v>698</v>
      </c>
      <c r="O8" s="2" t="s">
        <v>868</v>
      </c>
      <c r="P8" s="44" t="s">
        <v>704</v>
      </c>
      <c r="Q8" s="44" t="s">
        <v>886</v>
      </c>
      <c r="R8" s="44" t="s">
        <v>685</v>
      </c>
      <c r="S8" s="45" t="s">
        <v>700</v>
      </c>
      <c r="T8" s="44" t="s">
        <v>712</v>
      </c>
      <c r="U8" s="44" t="s">
        <v>749</v>
      </c>
      <c r="V8" s="44" t="s">
        <v>741</v>
      </c>
      <c r="W8" s="44" t="s">
        <v>725</v>
      </c>
      <c r="X8" s="82" t="s">
        <v>998</v>
      </c>
    </row>
    <row r="9" spans="1:24">
      <c r="A9">
        <v>1984</v>
      </c>
      <c r="B9">
        <v>5</v>
      </c>
      <c r="C9">
        <v>5</v>
      </c>
      <c r="D9" t="s">
        <v>269</v>
      </c>
      <c r="E9" t="s">
        <v>270</v>
      </c>
      <c r="F9" t="s">
        <v>271</v>
      </c>
      <c r="G9" s="44" t="s">
        <v>716</v>
      </c>
      <c r="H9" s="44" t="s">
        <v>666</v>
      </c>
      <c r="I9" s="2" t="s">
        <v>667</v>
      </c>
      <c r="J9" s="44" t="s">
        <v>880</v>
      </c>
      <c r="K9" s="84" t="s">
        <v>932</v>
      </c>
      <c r="L9" s="44" t="s">
        <v>887</v>
      </c>
      <c r="M9" s="44" t="s">
        <v>697</v>
      </c>
      <c r="N9" s="76" t="s">
        <v>709</v>
      </c>
      <c r="O9" s="44" t="s">
        <v>888</v>
      </c>
      <c r="Q9" s="45" t="s">
        <v>664</v>
      </c>
      <c r="R9" s="44" t="s">
        <v>671</v>
      </c>
      <c r="S9" s="44" t="s">
        <v>711</v>
      </c>
      <c r="T9" s="44" t="s">
        <v>722</v>
      </c>
      <c r="U9" s="44" t="s">
        <v>740</v>
      </c>
      <c r="V9" s="44" t="s">
        <v>765</v>
      </c>
      <c r="W9" s="44" t="s">
        <v>715</v>
      </c>
      <c r="X9" s="82" t="s">
        <v>999</v>
      </c>
    </row>
    <row r="10" spans="1:24">
      <c r="A10">
        <v>1985</v>
      </c>
      <c r="B10">
        <v>6</v>
      </c>
      <c r="C10">
        <v>6</v>
      </c>
      <c r="D10" t="s">
        <v>272</v>
      </c>
      <c r="E10" t="s">
        <v>273</v>
      </c>
      <c r="F10" t="s">
        <v>274</v>
      </c>
      <c r="H10" s="44" t="s">
        <v>769</v>
      </c>
      <c r="I10" s="2" t="s">
        <v>707</v>
      </c>
      <c r="J10" s="44" t="s">
        <v>881</v>
      </c>
      <c r="K10" s="84" t="s">
        <v>1048</v>
      </c>
      <c r="L10" s="44" t="s">
        <v>911</v>
      </c>
      <c r="M10" s="44" t="s">
        <v>708</v>
      </c>
      <c r="N10" s="76" t="s">
        <v>720</v>
      </c>
      <c r="Q10" s="44" t="s">
        <v>743</v>
      </c>
      <c r="R10" s="44" t="s">
        <v>710</v>
      </c>
      <c r="T10" s="44" t="s">
        <v>731</v>
      </c>
      <c r="U10" s="44" t="s">
        <v>732</v>
      </c>
      <c r="V10" s="44" t="s">
        <v>733</v>
      </c>
      <c r="W10" s="44" t="s">
        <v>742</v>
      </c>
      <c r="X10" s="82" t="s">
        <v>1000</v>
      </c>
    </row>
    <row r="11" spans="1:24">
      <c r="A11">
        <v>1986</v>
      </c>
      <c r="B11">
        <v>7</v>
      </c>
      <c r="C11">
        <v>7</v>
      </c>
      <c r="D11" s="2" t="s">
        <v>275</v>
      </c>
      <c r="E11" t="s">
        <v>276</v>
      </c>
      <c r="F11" t="s">
        <v>277</v>
      </c>
      <c r="H11" s="44" t="s">
        <v>695</v>
      </c>
      <c r="I11" s="2" t="s">
        <v>719</v>
      </c>
      <c r="J11" s="44" t="s">
        <v>882</v>
      </c>
      <c r="K11" s="38" t="s">
        <v>919</v>
      </c>
      <c r="L11" s="82" t="s">
        <v>938</v>
      </c>
      <c r="N11" s="76" t="s">
        <v>729</v>
      </c>
      <c r="Q11" s="44" t="s">
        <v>752</v>
      </c>
      <c r="R11" s="45" t="s">
        <v>730</v>
      </c>
      <c r="T11" s="45" t="s">
        <v>739</v>
      </c>
      <c r="U11" s="44" t="s">
        <v>723</v>
      </c>
      <c r="V11" s="44" t="s">
        <v>757</v>
      </c>
      <c r="W11" s="44" t="s">
        <v>734</v>
      </c>
      <c r="X11" s="82" t="s">
        <v>1001</v>
      </c>
    </row>
    <row r="12" spans="1:24">
      <c r="A12">
        <v>1987</v>
      </c>
      <c r="B12">
        <v>8</v>
      </c>
      <c r="C12">
        <v>8</v>
      </c>
      <c r="D12" s="2" t="s">
        <v>278</v>
      </c>
      <c r="E12" t="s">
        <v>279</v>
      </c>
      <c r="F12" t="s">
        <v>280</v>
      </c>
      <c r="H12" s="44" t="s">
        <v>727</v>
      </c>
      <c r="I12" s="2" t="s">
        <v>653</v>
      </c>
      <c r="J12" s="44" t="s">
        <v>883</v>
      </c>
      <c r="K12" s="84" t="s">
        <v>933</v>
      </c>
      <c r="L12" s="81" t="s">
        <v>939</v>
      </c>
      <c r="N12" s="76" t="s">
        <v>738</v>
      </c>
      <c r="Q12" s="44" t="s">
        <v>759</v>
      </c>
      <c r="R12" s="44" t="s">
        <v>786</v>
      </c>
      <c r="T12" s="44" t="s">
        <v>711</v>
      </c>
      <c r="U12" s="44" t="s">
        <v>688</v>
      </c>
      <c r="V12" s="44" t="s">
        <v>689</v>
      </c>
      <c r="W12" s="44" t="s">
        <v>758</v>
      </c>
      <c r="X12" s="82" t="s">
        <v>1002</v>
      </c>
    </row>
    <row r="13" spans="1:24">
      <c r="A13">
        <v>1988</v>
      </c>
      <c r="B13">
        <v>9</v>
      </c>
      <c r="C13">
        <v>9</v>
      </c>
      <c r="D13" s="2" t="s">
        <v>281</v>
      </c>
      <c r="E13" t="s">
        <v>282</v>
      </c>
      <c r="F13" t="s">
        <v>283</v>
      </c>
      <c r="H13" s="44" t="s">
        <v>718</v>
      </c>
      <c r="I13" s="2" t="s">
        <v>681</v>
      </c>
      <c r="J13" s="81" t="s">
        <v>927</v>
      </c>
      <c r="K13" s="84" t="s">
        <v>934</v>
      </c>
      <c r="L13" s="81" t="s">
        <v>940</v>
      </c>
      <c r="N13" s="76" t="s">
        <v>747</v>
      </c>
      <c r="Q13" s="44" t="s">
        <v>767</v>
      </c>
      <c r="R13" s="44" t="s">
        <v>772</v>
      </c>
      <c r="U13" s="44" t="s">
        <v>701</v>
      </c>
      <c r="V13" s="44" t="s">
        <v>714</v>
      </c>
      <c r="W13" s="44" t="s">
        <v>773</v>
      </c>
      <c r="X13" s="82" t="s">
        <v>1003</v>
      </c>
    </row>
    <row r="14" spans="1:24">
      <c r="A14">
        <v>1989</v>
      </c>
      <c r="B14">
        <v>10</v>
      </c>
      <c r="C14">
        <v>10</v>
      </c>
      <c r="D14" t="s">
        <v>284</v>
      </c>
      <c r="E14" t="s">
        <v>285</v>
      </c>
      <c r="F14" t="s">
        <v>286</v>
      </c>
      <c r="H14" s="44" t="s">
        <v>706</v>
      </c>
      <c r="I14" s="2" t="s">
        <v>834</v>
      </c>
      <c r="J14" s="81" t="s">
        <v>928</v>
      </c>
      <c r="K14" s="84" t="s">
        <v>937</v>
      </c>
      <c r="L14" s="81" t="s">
        <v>941</v>
      </c>
      <c r="N14" s="76" t="s">
        <v>755</v>
      </c>
      <c r="Q14" s="81" t="s">
        <v>985</v>
      </c>
      <c r="R14" s="44" t="s">
        <v>778</v>
      </c>
      <c r="U14" s="81" t="s">
        <v>987</v>
      </c>
      <c r="V14" s="44" t="s">
        <v>702</v>
      </c>
      <c r="W14" s="44" t="s">
        <v>766</v>
      </c>
      <c r="X14" s="82" t="s">
        <v>1004</v>
      </c>
    </row>
    <row r="15" spans="1:24">
      <c r="A15">
        <v>1990</v>
      </c>
      <c r="B15">
        <v>11</v>
      </c>
      <c r="C15">
        <v>11</v>
      </c>
      <c r="D15" s="2" t="s">
        <v>287</v>
      </c>
      <c r="E15" t="s">
        <v>288</v>
      </c>
      <c r="F15" t="s">
        <v>269</v>
      </c>
      <c r="H15" s="44" t="s">
        <v>775</v>
      </c>
      <c r="I15" s="2" t="s">
        <v>776</v>
      </c>
      <c r="K15" s="44" t="s">
        <v>768</v>
      </c>
      <c r="N15" s="76" t="s">
        <v>763</v>
      </c>
      <c r="Q15" s="81" t="s">
        <v>986</v>
      </c>
      <c r="R15" s="44" t="s">
        <v>781</v>
      </c>
      <c r="U15" s="81" t="s">
        <v>988</v>
      </c>
      <c r="V15" s="45" t="s">
        <v>724</v>
      </c>
      <c r="W15" s="44" t="s">
        <v>751</v>
      </c>
      <c r="X15" s="82" t="s">
        <v>1005</v>
      </c>
    </row>
    <row r="16" spans="1:24">
      <c r="A16">
        <v>1991</v>
      </c>
      <c r="B16">
        <v>12</v>
      </c>
      <c r="C16">
        <v>12</v>
      </c>
      <c r="D16" s="2" t="s">
        <v>289</v>
      </c>
      <c r="E16" t="s">
        <v>290</v>
      </c>
      <c r="F16" t="s">
        <v>291</v>
      </c>
      <c r="H16" s="44" t="s">
        <v>761</v>
      </c>
      <c r="I16" s="2" t="s">
        <v>770</v>
      </c>
      <c r="K16" s="84" t="s">
        <v>935</v>
      </c>
      <c r="N16" s="76" t="s">
        <v>771</v>
      </c>
      <c r="R16" s="44" t="s">
        <v>748</v>
      </c>
      <c r="U16" s="81" t="s">
        <v>989</v>
      </c>
      <c r="V16" s="44" t="s">
        <v>782</v>
      </c>
      <c r="X16" s="82" t="s">
        <v>1006</v>
      </c>
    </row>
    <row r="17" spans="1:24">
      <c r="A17">
        <v>1992</v>
      </c>
      <c r="C17">
        <v>13</v>
      </c>
      <c r="D17" t="s">
        <v>292</v>
      </c>
      <c r="E17" t="s">
        <v>293</v>
      </c>
      <c r="F17" t="s">
        <v>294</v>
      </c>
      <c r="H17" s="44" t="s">
        <v>754</v>
      </c>
      <c r="I17" s="2" t="s">
        <v>837</v>
      </c>
      <c r="K17" s="44" t="s">
        <v>753</v>
      </c>
      <c r="N17" s="76" t="s">
        <v>777</v>
      </c>
      <c r="R17" s="44" t="s">
        <v>764</v>
      </c>
      <c r="U17" s="81" t="s">
        <v>990</v>
      </c>
      <c r="V17" s="44" t="s">
        <v>792</v>
      </c>
      <c r="X17" s="82" t="s">
        <v>1007</v>
      </c>
    </row>
    <row r="18" spans="1:24">
      <c r="A18">
        <v>1993</v>
      </c>
      <c r="C18">
        <v>14</v>
      </c>
      <c r="D18" s="2" t="s">
        <v>295</v>
      </c>
      <c r="E18" t="s">
        <v>296</v>
      </c>
      <c r="F18" t="s">
        <v>297</v>
      </c>
      <c r="I18" s="2" t="s">
        <v>695</v>
      </c>
      <c r="K18" s="44" t="s">
        <v>821</v>
      </c>
      <c r="N18" s="76" t="s">
        <v>889</v>
      </c>
      <c r="R18" s="44" t="s">
        <v>756</v>
      </c>
      <c r="U18" s="81" t="s">
        <v>991</v>
      </c>
      <c r="V18" s="44" t="s">
        <v>787</v>
      </c>
      <c r="X18" s="82" t="s">
        <v>1008</v>
      </c>
    </row>
    <row r="19" spans="1:24">
      <c r="A19">
        <v>1994</v>
      </c>
      <c r="C19">
        <v>15</v>
      </c>
      <c r="D19" t="s">
        <v>298</v>
      </c>
      <c r="E19" t="s">
        <v>299</v>
      </c>
      <c r="F19" t="s">
        <v>300</v>
      </c>
      <c r="I19" s="2" t="s">
        <v>780</v>
      </c>
      <c r="K19" s="38" t="s">
        <v>920</v>
      </c>
      <c r="N19" s="76" t="s">
        <v>785</v>
      </c>
      <c r="R19" s="44" t="s">
        <v>801</v>
      </c>
      <c r="U19" s="81" t="s">
        <v>992</v>
      </c>
      <c r="V19" s="44" t="s">
        <v>797</v>
      </c>
      <c r="X19" s="82" t="s">
        <v>1009</v>
      </c>
    </row>
    <row r="20" spans="1:24">
      <c r="A20">
        <v>1995</v>
      </c>
      <c r="C20">
        <v>16</v>
      </c>
      <c r="D20" t="s">
        <v>301</v>
      </c>
      <c r="E20" t="s">
        <v>302</v>
      </c>
      <c r="F20" t="s">
        <v>303</v>
      </c>
      <c r="I20" s="2" t="s">
        <v>794</v>
      </c>
      <c r="K20" s="44" t="s">
        <v>783</v>
      </c>
      <c r="N20" s="76" t="s">
        <v>790</v>
      </c>
      <c r="R20" s="44" t="s">
        <v>791</v>
      </c>
      <c r="U20" s="81" t="s">
        <v>993</v>
      </c>
      <c r="X20" s="82" t="s">
        <v>1010</v>
      </c>
    </row>
    <row r="21" spans="1:24">
      <c r="A21">
        <v>1996</v>
      </c>
      <c r="C21">
        <v>17</v>
      </c>
      <c r="E21" t="s">
        <v>304</v>
      </c>
      <c r="F21" t="s">
        <v>305</v>
      </c>
      <c r="I21" s="2" t="s">
        <v>784</v>
      </c>
      <c r="K21" s="44" t="s">
        <v>812</v>
      </c>
      <c r="N21" s="76" t="s">
        <v>795</v>
      </c>
      <c r="R21" s="45" t="s">
        <v>796</v>
      </c>
      <c r="U21" s="81" t="s">
        <v>994</v>
      </c>
      <c r="X21" s="82" t="s">
        <v>1011</v>
      </c>
    </row>
    <row r="22" spans="1:24">
      <c r="A22">
        <v>1997</v>
      </c>
      <c r="C22">
        <v>18</v>
      </c>
      <c r="E22" t="s">
        <v>306</v>
      </c>
      <c r="F22" t="s">
        <v>307</v>
      </c>
      <c r="I22" s="2" t="s">
        <v>696</v>
      </c>
      <c r="K22" s="44" t="s">
        <v>694</v>
      </c>
      <c r="N22" s="76" t="s">
        <v>800</v>
      </c>
      <c r="R22" s="44" t="s">
        <v>805</v>
      </c>
      <c r="X22" s="82" t="s">
        <v>1012</v>
      </c>
    </row>
    <row r="23" spans="1:24">
      <c r="A23">
        <v>1998</v>
      </c>
      <c r="C23">
        <v>19</v>
      </c>
      <c r="E23" t="s">
        <v>308</v>
      </c>
      <c r="F23" t="s">
        <v>309</v>
      </c>
      <c r="I23" s="2" t="s">
        <v>807</v>
      </c>
      <c r="K23" s="84" t="s">
        <v>930</v>
      </c>
      <c r="N23" s="76" t="s">
        <v>804</v>
      </c>
      <c r="X23" s="82" t="s">
        <v>1013</v>
      </c>
    </row>
    <row r="24" spans="1:24">
      <c r="A24">
        <v>1999</v>
      </c>
      <c r="C24">
        <v>20</v>
      </c>
      <c r="E24" t="s">
        <v>310</v>
      </c>
      <c r="F24" t="s">
        <v>311</v>
      </c>
      <c r="I24" s="2" t="s">
        <v>810</v>
      </c>
      <c r="K24" s="84" t="s">
        <v>929</v>
      </c>
      <c r="N24" s="76" t="s">
        <v>808</v>
      </c>
      <c r="X24" s="82" t="s">
        <v>1014</v>
      </c>
    </row>
    <row r="25" spans="1:24">
      <c r="A25">
        <v>2000</v>
      </c>
      <c r="C25">
        <v>21</v>
      </c>
      <c r="E25" t="s">
        <v>312</v>
      </c>
      <c r="F25" t="s">
        <v>313</v>
      </c>
      <c r="I25" s="2" t="s">
        <v>746</v>
      </c>
      <c r="K25" s="44" t="s">
        <v>809</v>
      </c>
      <c r="N25" s="76" t="s">
        <v>811</v>
      </c>
      <c r="X25" s="82" t="s">
        <v>1015</v>
      </c>
    </row>
    <row r="26" spans="1:24">
      <c r="A26">
        <v>2001</v>
      </c>
      <c r="C26">
        <v>22</v>
      </c>
      <c r="E26" t="s">
        <v>314</v>
      </c>
      <c r="F26" t="s">
        <v>315</v>
      </c>
      <c r="I26" s="2" t="s">
        <v>816</v>
      </c>
      <c r="K26" s="44" t="s">
        <v>802</v>
      </c>
      <c r="N26" s="76" t="s">
        <v>814</v>
      </c>
      <c r="X26" s="82" t="s">
        <v>1016</v>
      </c>
    </row>
    <row r="27" spans="1:24">
      <c r="A27">
        <v>2002</v>
      </c>
      <c r="C27">
        <v>23</v>
      </c>
      <c r="E27" t="s">
        <v>316</v>
      </c>
      <c r="F27" t="s">
        <v>317</v>
      </c>
      <c r="I27" s="2" t="s">
        <v>813</v>
      </c>
      <c r="K27" s="44" t="s">
        <v>705</v>
      </c>
      <c r="N27" s="76" t="s">
        <v>817</v>
      </c>
      <c r="X27" s="82" t="s">
        <v>1017</v>
      </c>
    </row>
    <row r="28" spans="1:24">
      <c r="A28">
        <v>2003</v>
      </c>
      <c r="C28">
        <v>24</v>
      </c>
      <c r="E28" t="s">
        <v>318</v>
      </c>
      <c r="F28" t="s">
        <v>319</v>
      </c>
      <c r="I28" s="2" t="s">
        <v>819</v>
      </c>
      <c r="K28" s="44" t="s">
        <v>793</v>
      </c>
      <c r="N28" s="76" t="s">
        <v>820</v>
      </c>
      <c r="Q28" s="38" t="s">
        <v>906</v>
      </c>
      <c r="X28" s="82" t="s">
        <v>1018</v>
      </c>
    </row>
    <row r="29" spans="1:24">
      <c r="A29">
        <v>2004</v>
      </c>
      <c r="C29">
        <v>25</v>
      </c>
      <c r="E29" t="s">
        <v>320</v>
      </c>
      <c r="F29" t="s">
        <v>321</v>
      </c>
      <c r="I29" s="2" t="s">
        <v>828</v>
      </c>
      <c r="K29" s="38" t="s">
        <v>921</v>
      </c>
      <c r="N29" s="76" t="s">
        <v>823</v>
      </c>
      <c r="Q29" s="38" t="s">
        <v>907</v>
      </c>
      <c r="X29" s="82" t="s">
        <v>1019</v>
      </c>
    </row>
    <row r="30" spans="1:24">
      <c r="A30">
        <v>2005</v>
      </c>
      <c r="C30">
        <v>26</v>
      </c>
      <c r="E30" t="s">
        <v>322</v>
      </c>
      <c r="F30" t="s">
        <v>323</v>
      </c>
      <c r="I30" s="2" t="s">
        <v>789</v>
      </c>
      <c r="K30" s="84" t="s">
        <v>936</v>
      </c>
      <c r="N30" s="76" t="s">
        <v>826</v>
      </c>
      <c r="Q30" s="38" t="s">
        <v>908</v>
      </c>
      <c r="X30" s="82" t="s">
        <v>1020</v>
      </c>
    </row>
    <row r="31" spans="1:24">
      <c r="A31">
        <v>2006</v>
      </c>
      <c r="C31">
        <v>27</v>
      </c>
      <c r="E31" t="s">
        <v>324</v>
      </c>
      <c r="F31" t="s">
        <v>325</v>
      </c>
      <c r="I31" s="2" t="s">
        <v>822</v>
      </c>
      <c r="K31" s="44" t="s">
        <v>830</v>
      </c>
      <c r="N31" s="76" t="s">
        <v>829</v>
      </c>
      <c r="Q31"/>
      <c r="X31" s="82" t="s">
        <v>1021</v>
      </c>
    </row>
    <row r="32" spans="1:24">
      <c r="A32">
        <v>2007</v>
      </c>
      <c r="C32">
        <v>28</v>
      </c>
      <c r="E32" t="s">
        <v>326</v>
      </c>
      <c r="F32" t="s">
        <v>327</v>
      </c>
      <c r="I32" s="2" t="s">
        <v>825</v>
      </c>
      <c r="K32" s="44" t="s">
        <v>744</v>
      </c>
      <c r="N32" s="76" t="s">
        <v>832</v>
      </c>
      <c r="Q32"/>
      <c r="X32" s="82" t="s">
        <v>1022</v>
      </c>
    </row>
    <row r="33" spans="1:24">
      <c r="A33">
        <v>2008</v>
      </c>
      <c r="C33">
        <v>29</v>
      </c>
      <c r="E33" t="s">
        <v>284</v>
      </c>
      <c r="F33" t="s">
        <v>328</v>
      </c>
      <c r="I33" s="2" t="s">
        <v>799</v>
      </c>
      <c r="K33" s="44" t="s">
        <v>665</v>
      </c>
      <c r="N33" s="76" t="s">
        <v>835</v>
      </c>
      <c r="Q33"/>
      <c r="X33" s="82" t="s">
        <v>1023</v>
      </c>
    </row>
    <row r="34" spans="1:24">
      <c r="A34">
        <v>2009</v>
      </c>
      <c r="C34">
        <v>30</v>
      </c>
      <c r="E34" t="s">
        <v>329</v>
      </c>
      <c r="F34" t="s">
        <v>330</v>
      </c>
      <c r="I34" s="2" t="s">
        <v>803</v>
      </c>
      <c r="K34" s="44" t="s">
        <v>836</v>
      </c>
      <c r="N34" s="76" t="s">
        <v>838</v>
      </c>
      <c r="Q34"/>
      <c r="X34" s="82" t="s">
        <v>1024</v>
      </c>
    </row>
    <row r="35" spans="1:24">
      <c r="A35">
        <v>2010</v>
      </c>
      <c r="C35">
        <v>31</v>
      </c>
      <c r="E35" t="s">
        <v>331</v>
      </c>
      <c r="F35" t="s">
        <v>332</v>
      </c>
      <c r="I35" s="2" t="s">
        <v>840</v>
      </c>
      <c r="K35" s="44" t="s">
        <v>798</v>
      </c>
      <c r="N35" s="76" t="s">
        <v>841</v>
      </c>
      <c r="Q35"/>
      <c r="X35" s="82" t="s">
        <v>1025</v>
      </c>
    </row>
    <row r="36" spans="1:24">
      <c r="A36">
        <v>2011</v>
      </c>
      <c r="E36" t="s">
        <v>333</v>
      </c>
      <c r="F36" t="s">
        <v>334</v>
      </c>
      <c r="I36" s="81" t="s">
        <v>922</v>
      </c>
      <c r="K36" s="44" t="s">
        <v>839</v>
      </c>
      <c r="N36" s="77" t="s">
        <v>842</v>
      </c>
      <c r="Q36"/>
      <c r="X36" s="82" t="s">
        <v>1026</v>
      </c>
    </row>
    <row r="37" spans="1:24">
      <c r="A37">
        <v>2012</v>
      </c>
      <c r="E37" t="s">
        <v>335</v>
      </c>
      <c r="F37" t="s">
        <v>336</v>
      </c>
      <c r="I37" s="81" t="s">
        <v>923</v>
      </c>
      <c r="K37" s="44" t="s">
        <v>827</v>
      </c>
      <c r="N37" s="76" t="s">
        <v>843</v>
      </c>
      <c r="Q37"/>
      <c r="X37" s="82" t="s">
        <v>1027</v>
      </c>
    </row>
    <row r="38" spans="1:24">
      <c r="A38">
        <v>2013</v>
      </c>
      <c r="E38" t="s">
        <v>337</v>
      </c>
      <c r="F38" t="s">
        <v>338</v>
      </c>
      <c r="I38" s="81" t="s">
        <v>924</v>
      </c>
      <c r="K38" s="44" t="s">
        <v>833</v>
      </c>
      <c r="N38" s="76" t="s">
        <v>844</v>
      </c>
      <c r="Q38"/>
      <c r="X38" s="82" t="s">
        <v>1028</v>
      </c>
    </row>
    <row r="39" spans="1:24">
      <c r="A39">
        <v>2014</v>
      </c>
      <c r="E39" t="s">
        <v>339</v>
      </c>
      <c r="F39" t="s">
        <v>340</v>
      </c>
      <c r="I39" s="81" t="s">
        <v>925</v>
      </c>
      <c r="K39" s="83" t="s">
        <v>774</v>
      </c>
      <c r="N39" s="76" t="s">
        <v>845</v>
      </c>
      <c r="Q39"/>
      <c r="X39" s="82" t="s">
        <v>1029</v>
      </c>
    </row>
    <row r="40" spans="1:24">
      <c r="A40">
        <v>2015</v>
      </c>
      <c r="E40" t="s">
        <v>341</v>
      </c>
      <c r="F40" t="s">
        <v>342</v>
      </c>
      <c r="I40" s="81" t="s">
        <v>926</v>
      </c>
      <c r="K40" s="83" t="s">
        <v>779</v>
      </c>
      <c r="N40" s="76" t="s">
        <v>846</v>
      </c>
      <c r="Q40"/>
      <c r="X40" s="82" t="s">
        <v>1030</v>
      </c>
    </row>
    <row r="41" spans="1:24">
      <c r="A41">
        <v>2016</v>
      </c>
      <c r="E41" t="s">
        <v>343</v>
      </c>
      <c r="F41" t="s">
        <v>344</v>
      </c>
      <c r="K41" s="83" t="s">
        <v>818</v>
      </c>
      <c r="N41" s="76" t="s">
        <v>847</v>
      </c>
      <c r="Q41"/>
      <c r="X41" s="82" t="s">
        <v>1031</v>
      </c>
    </row>
    <row r="42" spans="1:24">
      <c r="A42">
        <v>2017</v>
      </c>
      <c r="E42" t="s">
        <v>345</v>
      </c>
      <c r="F42" t="s">
        <v>346</v>
      </c>
      <c r="K42" s="83" t="s">
        <v>735</v>
      </c>
      <c r="N42" s="76" t="s">
        <v>848</v>
      </c>
      <c r="Q42"/>
      <c r="X42" s="82" t="s">
        <v>1032</v>
      </c>
    </row>
    <row r="43" spans="1:24">
      <c r="A43">
        <v>2018</v>
      </c>
      <c r="E43" t="s">
        <v>347</v>
      </c>
      <c r="F43" t="s">
        <v>348</v>
      </c>
      <c r="K43" s="83" t="s">
        <v>824</v>
      </c>
      <c r="N43" s="77" t="s">
        <v>849</v>
      </c>
      <c r="Q43"/>
      <c r="X43" s="82" t="s">
        <v>1033</v>
      </c>
    </row>
    <row r="44" spans="1:24">
      <c r="A44">
        <v>2019</v>
      </c>
      <c r="E44" t="s">
        <v>349</v>
      </c>
      <c r="F44" t="s">
        <v>350</v>
      </c>
      <c r="K44" s="83" t="s">
        <v>726</v>
      </c>
      <c r="N44" s="76" t="s">
        <v>850</v>
      </c>
      <c r="X44" s="82" t="s">
        <v>1034</v>
      </c>
    </row>
    <row r="45" spans="1:24">
      <c r="A45">
        <v>2020</v>
      </c>
      <c r="E45" t="s">
        <v>351</v>
      </c>
      <c r="F45" t="s">
        <v>352</v>
      </c>
      <c r="K45" s="83" t="s">
        <v>806</v>
      </c>
      <c r="N45" s="76" t="s">
        <v>851</v>
      </c>
      <c r="X45" s="82" t="s">
        <v>1035</v>
      </c>
    </row>
    <row r="46" spans="1:24">
      <c r="A46">
        <v>2021</v>
      </c>
      <c r="E46" t="s">
        <v>353</v>
      </c>
      <c r="F46" t="s">
        <v>354</v>
      </c>
      <c r="K46" s="83" t="s">
        <v>760</v>
      </c>
      <c r="N46" s="76" t="s">
        <v>852</v>
      </c>
      <c r="X46" s="82" t="s">
        <v>1036</v>
      </c>
    </row>
    <row r="47" spans="1:24">
      <c r="A47">
        <v>2022</v>
      </c>
      <c r="E47" t="s">
        <v>355</v>
      </c>
      <c r="F47" t="s">
        <v>356</v>
      </c>
      <c r="K47" s="83" t="s">
        <v>815</v>
      </c>
      <c r="N47" s="76" t="s">
        <v>853</v>
      </c>
      <c r="X47" s="82" t="s">
        <v>1037</v>
      </c>
    </row>
    <row r="48" spans="1:24">
      <c r="A48">
        <v>2023</v>
      </c>
      <c r="E48" t="s">
        <v>357</v>
      </c>
      <c r="F48" t="s">
        <v>358</v>
      </c>
      <c r="N48" s="76" t="s">
        <v>854</v>
      </c>
      <c r="X48" s="82" t="s">
        <v>1038</v>
      </c>
    </row>
    <row r="49" spans="1:24">
      <c r="A49">
        <v>2024</v>
      </c>
      <c r="E49" t="s">
        <v>359</v>
      </c>
      <c r="F49" t="s">
        <v>360</v>
      </c>
      <c r="N49" s="76" t="s">
        <v>855</v>
      </c>
      <c r="X49" s="82" t="s">
        <v>1039</v>
      </c>
    </row>
    <row r="50" spans="1:24">
      <c r="A50">
        <v>2025</v>
      </c>
      <c r="E50" t="s">
        <v>361</v>
      </c>
      <c r="F50" t="s">
        <v>362</v>
      </c>
      <c r="N50" s="76" t="s">
        <v>856</v>
      </c>
      <c r="X50" s="82" t="s">
        <v>1040</v>
      </c>
    </row>
    <row r="51" spans="1:24">
      <c r="A51">
        <v>2026</v>
      </c>
      <c r="E51" t="s">
        <v>363</v>
      </c>
      <c r="F51" t="s">
        <v>364</v>
      </c>
      <c r="N51" s="78" t="s">
        <v>857</v>
      </c>
      <c r="X51" s="82" t="s">
        <v>1041</v>
      </c>
    </row>
    <row r="52" spans="1:24">
      <c r="A52">
        <v>2027</v>
      </c>
      <c r="E52" t="s">
        <v>365</v>
      </c>
      <c r="F52" t="s">
        <v>366</v>
      </c>
      <c r="N52" s="77" t="s">
        <v>858</v>
      </c>
      <c r="X52" s="82" t="s">
        <v>1042</v>
      </c>
    </row>
    <row r="53" spans="1:24">
      <c r="A53">
        <v>2028</v>
      </c>
      <c r="E53" t="s">
        <v>367</v>
      </c>
      <c r="F53" t="s">
        <v>368</v>
      </c>
      <c r="N53" s="76" t="s">
        <v>859</v>
      </c>
      <c r="X53" s="82" t="s">
        <v>1043</v>
      </c>
    </row>
    <row r="54" spans="1:24">
      <c r="A54">
        <v>2029</v>
      </c>
      <c r="E54" t="s">
        <v>369</v>
      </c>
      <c r="F54" t="s">
        <v>370</v>
      </c>
      <c r="N54" s="76" t="s">
        <v>860</v>
      </c>
      <c r="X54" s="82" t="s">
        <v>1044</v>
      </c>
    </row>
    <row r="55" spans="1:24">
      <c r="A55">
        <v>2030</v>
      </c>
      <c r="E55" t="s">
        <v>371</v>
      </c>
      <c r="F55" t="s">
        <v>372</v>
      </c>
      <c r="N55" s="76" t="s">
        <v>861</v>
      </c>
    </row>
    <row r="56" spans="1:24">
      <c r="E56" t="s">
        <v>362</v>
      </c>
      <c r="F56" t="s">
        <v>373</v>
      </c>
      <c r="N56" s="76" t="s">
        <v>862</v>
      </c>
    </row>
    <row r="57" spans="1:24">
      <c r="E57" t="s">
        <v>374</v>
      </c>
      <c r="F57" t="s">
        <v>375</v>
      </c>
      <c r="N57" s="76" t="s">
        <v>863</v>
      </c>
    </row>
    <row r="58" spans="1:24">
      <c r="E58" t="s">
        <v>376</v>
      </c>
      <c r="F58" t="s">
        <v>377</v>
      </c>
      <c r="N58" s="76" t="s">
        <v>864</v>
      </c>
    </row>
    <row r="59" spans="1:24">
      <c r="E59" t="s">
        <v>378</v>
      </c>
      <c r="F59" t="s">
        <v>259</v>
      </c>
      <c r="N59" s="76" t="s">
        <v>890</v>
      </c>
    </row>
    <row r="60" spans="1:24">
      <c r="E60" t="s">
        <v>379</v>
      </c>
      <c r="F60" t="s">
        <v>380</v>
      </c>
      <c r="N60" s="76" t="s">
        <v>891</v>
      </c>
    </row>
    <row r="61" spans="1:24">
      <c r="E61" t="s">
        <v>1050</v>
      </c>
      <c r="F61" t="s">
        <v>381</v>
      </c>
      <c r="N61" s="78" t="s">
        <v>892</v>
      </c>
    </row>
    <row r="62" spans="1:24">
      <c r="F62" t="s">
        <v>382</v>
      </c>
      <c r="N62" s="76" t="s">
        <v>893</v>
      </c>
    </row>
    <row r="63" spans="1:24">
      <c r="F63" t="s">
        <v>383</v>
      </c>
      <c r="N63" s="77" t="s">
        <v>894</v>
      </c>
    </row>
    <row r="64" spans="1:24">
      <c r="F64" t="s">
        <v>384</v>
      </c>
      <c r="N64" s="76" t="s">
        <v>895</v>
      </c>
    </row>
    <row r="65" spans="6:14">
      <c r="F65" t="s">
        <v>385</v>
      </c>
      <c r="N65" s="76" t="s">
        <v>896</v>
      </c>
    </row>
    <row r="66" spans="6:14">
      <c r="F66" t="s">
        <v>386</v>
      </c>
      <c r="N66" s="76" t="s">
        <v>897</v>
      </c>
    </row>
    <row r="67" spans="6:14">
      <c r="F67" t="s">
        <v>270</v>
      </c>
      <c r="N67" s="76" t="s">
        <v>898</v>
      </c>
    </row>
    <row r="68" spans="6:14">
      <c r="F68" t="s">
        <v>387</v>
      </c>
      <c r="N68" s="76" t="s">
        <v>899</v>
      </c>
    </row>
    <row r="69" spans="6:14">
      <c r="F69" t="s">
        <v>264</v>
      </c>
      <c r="N69" s="76" t="s">
        <v>900</v>
      </c>
    </row>
    <row r="70" spans="6:14">
      <c r="F70" t="s">
        <v>388</v>
      </c>
      <c r="N70" s="76" t="s">
        <v>901</v>
      </c>
    </row>
    <row r="71" spans="6:14">
      <c r="F71" t="s">
        <v>389</v>
      </c>
      <c r="N71" s="76" t="s">
        <v>902</v>
      </c>
    </row>
    <row r="72" spans="6:14">
      <c r="F72" t="s">
        <v>390</v>
      </c>
      <c r="N72" s="76" t="s">
        <v>903</v>
      </c>
    </row>
    <row r="73" spans="6:14">
      <c r="F73" t="s">
        <v>276</v>
      </c>
      <c r="N73" s="76" t="s">
        <v>904</v>
      </c>
    </row>
    <row r="74" spans="6:14">
      <c r="F74" t="s">
        <v>391</v>
      </c>
      <c r="N74" s="77" t="s">
        <v>905</v>
      </c>
    </row>
    <row r="75" spans="6:14">
      <c r="F75" t="s">
        <v>392</v>
      </c>
      <c r="N75" s="79" t="s">
        <v>914</v>
      </c>
    </row>
    <row r="76" spans="6:14">
      <c r="F76" t="s">
        <v>393</v>
      </c>
      <c r="N76" s="79" t="s">
        <v>915</v>
      </c>
    </row>
    <row r="77" spans="6:14">
      <c r="F77" t="s">
        <v>279</v>
      </c>
      <c r="N77" s="79" t="s">
        <v>916</v>
      </c>
    </row>
    <row r="78" spans="6:14">
      <c r="F78" t="s">
        <v>394</v>
      </c>
      <c r="N78" s="79" t="s">
        <v>917</v>
      </c>
    </row>
    <row r="79" spans="6:14">
      <c r="F79" t="s">
        <v>299</v>
      </c>
      <c r="N79" s="79" t="s">
        <v>918</v>
      </c>
    </row>
    <row r="80" spans="6:14">
      <c r="F80" t="s">
        <v>395</v>
      </c>
      <c r="N80" s="82" t="s">
        <v>943</v>
      </c>
    </row>
    <row r="81" spans="6:14">
      <c r="F81" t="s">
        <v>396</v>
      </c>
      <c r="N81" s="82" t="s">
        <v>944</v>
      </c>
    </row>
    <row r="82" spans="6:14">
      <c r="F82" t="s">
        <v>397</v>
      </c>
      <c r="N82" s="82" t="s">
        <v>945</v>
      </c>
    </row>
    <row r="83" spans="6:14">
      <c r="F83" t="s">
        <v>398</v>
      </c>
      <c r="N83" s="82" t="s">
        <v>946</v>
      </c>
    </row>
    <row r="84" spans="6:14">
      <c r="F84" t="s">
        <v>399</v>
      </c>
      <c r="N84" s="82" t="s">
        <v>947</v>
      </c>
    </row>
    <row r="85" spans="6:14">
      <c r="F85" t="s">
        <v>400</v>
      </c>
      <c r="N85" s="82" t="s">
        <v>948</v>
      </c>
    </row>
    <row r="86" spans="6:14">
      <c r="F86" t="s">
        <v>401</v>
      </c>
      <c r="N86" s="82" t="s">
        <v>949</v>
      </c>
    </row>
    <row r="87" spans="6:14">
      <c r="F87" t="s">
        <v>402</v>
      </c>
      <c r="N87" s="82" t="s">
        <v>950</v>
      </c>
    </row>
    <row r="88" spans="6:14">
      <c r="F88" t="s">
        <v>403</v>
      </c>
      <c r="N88" s="82" t="s">
        <v>951</v>
      </c>
    </row>
    <row r="89" spans="6:14">
      <c r="F89" t="s">
        <v>404</v>
      </c>
      <c r="N89" s="82" t="s">
        <v>952</v>
      </c>
    </row>
    <row r="90" spans="6:14">
      <c r="F90" t="s">
        <v>405</v>
      </c>
      <c r="N90" s="82" t="s">
        <v>953</v>
      </c>
    </row>
    <row r="91" spans="6:14">
      <c r="F91" t="s">
        <v>406</v>
      </c>
      <c r="N91" s="82" t="s">
        <v>954</v>
      </c>
    </row>
    <row r="92" spans="6:14">
      <c r="F92" t="s">
        <v>302</v>
      </c>
      <c r="N92" s="82" t="s">
        <v>955</v>
      </c>
    </row>
    <row r="93" spans="6:14">
      <c r="F93" t="s">
        <v>407</v>
      </c>
      <c r="N93" s="82" t="s">
        <v>956</v>
      </c>
    </row>
    <row r="94" spans="6:14">
      <c r="F94" t="s">
        <v>408</v>
      </c>
      <c r="N94" s="82" t="s">
        <v>957</v>
      </c>
    </row>
    <row r="95" spans="6:14">
      <c r="F95" t="s">
        <v>409</v>
      </c>
      <c r="N95" s="82" t="s">
        <v>958</v>
      </c>
    </row>
    <row r="96" spans="6:14">
      <c r="F96" t="s">
        <v>410</v>
      </c>
      <c r="N96" s="82" t="s">
        <v>959</v>
      </c>
    </row>
    <row r="97" spans="6:14">
      <c r="F97" t="s">
        <v>411</v>
      </c>
      <c r="N97" s="82" t="s">
        <v>960</v>
      </c>
    </row>
    <row r="98" spans="6:14">
      <c r="F98" t="s">
        <v>412</v>
      </c>
      <c r="N98" s="82" t="s">
        <v>961</v>
      </c>
    </row>
    <row r="99" spans="6:14">
      <c r="F99" t="s">
        <v>413</v>
      </c>
      <c r="N99" s="82" t="s">
        <v>962</v>
      </c>
    </row>
    <row r="100" spans="6:14">
      <c r="F100" t="s">
        <v>414</v>
      </c>
      <c r="N100" s="82" t="s">
        <v>963</v>
      </c>
    </row>
    <row r="101" spans="6:14">
      <c r="F101" t="s">
        <v>272</v>
      </c>
      <c r="N101" s="82" t="s">
        <v>964</v>
      </c>
    </row>
    <row r="102" spans="6:14">
      <c r="F102" t="s">
        <v>415</v>
      </c>
      <c r="N102" s="82" t="s">
        <v>965</v>
      </c>
    </row>
    <row r="103" spans="6:14">
      <c r="F103" t="s">
        <v>416</v>
      </c>
      <c r="N103" s="82" t="s">
        <v>966</v>
      </c>
    </row>
    <row r="104" spans="6:14">
      <c r="F104" t="s">
        <v>417</v>
      </c>
      <c r="N104" s="82" t="s">
        <v>967</v>
      </c>
    </row>
    <row r="105" spans="6:14">
      <c r="F105" t="s">
        <v>296</v>
      </c>
      <c r="N105" s="82" t="s">
        <v>968</v>
      </c>
    </row>
    <row r="106" spans="6:14">
      <c r="F106" t="s">
        <v>304</v>
      </c>
      <c r="N106" s="82" t="s">
        <v>969</v>
      </c>
    </row>
    <row r="107" spans="6:14">
      <c r="F107" t="s">
        <v>418</v>
      </c>
      <c r="N107" s="82" t="s">
        <v>970</v>
      </c>
    </row>
    <row r="108" spans="6:14">
      <c r="F108" t="s">
        <v>419</v>
      </c>
      <c r="N108" s="82" t="s">
        <v>971</v>
      </c>
    </row>
    <row r="109" spans="6:14">
      <c r="F109" t="s">
        <v>420</v>
      </c>
      <c r="N109" s="82" t="s">
        <v>972</v>
      </c>
    </row>
    <row r="110" spans="6:14">
      <c r="F110" t="s">
        <v>421</v>
      </c>
      <c r="N110" s="82" t="s">
        <v>973</v>
      </c>
    </row>
    <row r="111" spans="6:14">
      <c r="F111" t="s">
        <v>422</v>
      </c>
      <c r="N111" s="82" t="s">
        <v>974</v>
      </c>
    </row>
    <row r="112" spans="6:14">
      <c r="F112" t="s">
        <v>423</v>
      </c>
      <c r="N112" s="82" t="s">
        <v>975</v>
      </c>
    </row>
    <row r="113" spans="6:14">
      <c r="F113" t="s">
        <v>424</v>
      </c>
      <c r="N113" s="82" t="s">
        <v>976</v>
      </c>
    </row>
    <row r="114" spans="6:14">
      <c r="F114" t="s">
        <v>293</v>
      </c>
      <c r="N114" s="82" t="s">
        <v>977</v>
      </c>
    </row>
    <row r="115" spans="6:14">
      <c r="F115" t="s">
        <v>425</v>
      </c>
      <c r="N115" s="82" t="s">
        <v>978</v>
      </c>
    </row>
    <row r="116" spans="6:14">
      <c r="F116" t="s">
        <v>426</v>
      </c>
      <c r="N116" s="82" t="s">
        <v>979</v>
      </c>
    </row>
    <row r="117" spans="6:14">
      <c r="F117" t="s">
        <v>427</v>
      </c>
      <c r="N117" s="82" t="s">
        <v>980</v>
      </c>
    </row>
    <row r="118" spans="6:14">
      <c r="F118" t="s">
        <v>428</v>
      </c>
      <c r="N118" s="82" t="s">
        <v>981</v>
      </c>
    </row>
    <row r="119" spans="6:14">
      <c r="F119" t="s">
        <v>429</v>
      </c>
      <c r="N119" s="82" t="s">
        <v>982</v>
      </c>
    </row>
    <row r="120" spans="6:14">
      <c r="F120" t="s">
        <v>365</v>
      </c>
      <c r="N120" s="82" t="s">
        <v>983</v>
      </c>
    </row>
    <row r="121" spans="6:14">
      <c r="F121" t="s">
        <v>430</v>
      </c>
      <c r="N121" s="82" t="s">
        <v>984</v>
      </c>
    </row>
    <row r="122" spans="6:14">
      <c r="F122" t="s">
        <v>431</v>
      </c>
    </row>
    <row r="123" spans="6:14">
      <c r="F123" t="s">
        <v>432</v>
      </c>
    </row>
    <row r="124" spans="6:14">
      <c r="F124" t="s">
        <v>433</v>
      </c>
    </row>
    <row r="125" spans="6:14">
      <c r="F125" t="s">
        <v>434</v>
      </c>
    </row>
    <row r="126" spans="6:14">
      <c r="F126" t="s">
        <v>435</v>
      </c>
    </row>
    <row r="127" spans="6:14">
      <c r="F127" t="s">
        <v>367</v>
      </c>
    </row>
    <row r="128" spans="6:14">
      <c r="F128" t="s">
        <v>436</v>
      </c>
    </row>
    <row r="129" spans="6:6">
      <c r="F129" t="s">
        <v>437</v>
      </c>
    </row>
    <row r="130" spans="6:6">
      <c r="F130" t="s">
        <v>438</v>
      </c>
    </row>
    <row r="131" spans="6:6">
      <c r="F131" t="s">
        <v>439</v>
      </c>
    </row>
    <row r="132" spans="6:6">
      <c r="F132" t="s">
        <v>440</v>
      </c>
    </row>
    <row r="133" spans="6:6">
      <c r="F133" t="s">
        <v>441</v>
      </c>
    </row>
    <row r="134" spans="6:6">
      <c r="F134" t="s">
        <v>442</v>
      </c>
    </row>
    <row r="135" spans="6:6">
      <c r="F135" t="s">
        <v>443</v>
      </c>
    </row>
    <row r="136" spans="6:6">
      <c r="F136" t="s">
        <v>444</v>
      </c>
    </row>
    <row r="137" spans="6:6">
      <c r="F137" t="s">
        <v>445</v>
      </c>
    </row>
    <row r="138" spans="6:6">
      <c r="F138" t="s">
        <v>446</v>
      </c>
    </row>
    <row r="139" spans="6:6">
      <c r="F139" t="s">
        <v>447</v>
      </c>
    </row>
    <row r="140" spans="6:6">
      <c r="F140" t="s">
        <v>448</v>
      </c>
    </row>
    <row r="141" spans="6:6">
      <c r="F141" t="s">
        <v>449</v>
      </c>
    </row>
    <row r="142" spans="6:6">
      <c r="F142" t="s">
        <v>450</v>
      </c>
    </row>
    <row r="143" spans="6:6">
      <c r="F143" t="s">
        <v>451</v>
      </c>
    </row>
    <row r="144" spans="6:6">
      <c r="F144" t="s">
        <v>452</v>
      </c>
    </row>
    <row r="145" spans="6:6">
      <c r="F145" t="s">
        <v>453</v>
      </c>
    </row>
    <row r="146" spans="6:6">
      <c r="F146" t="s">
        <v>454</v>
      </c>
    </row>
    <row r="147" spans="6:6">
      <c r="F147" t="s">
        <v>455</v>
      </c>
    </row>
    <row r="148" spans="6:6">
      <c r="F148" t="s">
        <v>456</v>
      </c>
    </row>
    <row r="149" spans="6:6">
      <c r="F149" t="s">
        <v>457</v>
      </c>
    </row>
    <row r="150" spans="6:6">
      <c r="F150" t="s">
        <v>458</v>
      </c>
    </row>
    <row r="151" spans="6:6">
      <c r="F151" t="s">
        <v>357</v>
      </c>
    </row>
    <row r="152" spans="6:6">
      <c r="F152" t="s">
        <v>459</v>
      </c>
    </row>
    <row r="153" spans="6:6">
      <c r="F153" t="s">
        <v>460</v>
      </c>
    </row>
    <row r="154" spans="6:6">
      <c r="F154" t="s">
        <v>461</v>
      </c>
    </row>
    <row r="155" spans="6:6">
      <c r="F155" t="s">
        <v>462</v>
      </c>
    </row>
    <row r="156" spans="6:6">
      <c r="F156" t="s">
        <v>463</v>
      </c>
    </row>
    <row r="157" spans="6:6">
      <c r="F157" t="s">
        <v>464</v>
      </c>
    </row>
    <row r="158" spans="6:6">
      <c r="F158" t="s">
        <v>465</v>
      </c>
    </row>
    <row r="159" spans="6:6">
      <c r="F159" t="s">
        <v>466</v>
      </c>
    </row>
    <row r="160" spans="6:6">
      <c r="F160" t="s">
        <v>467</v>
      </c>
    </row>
    <row r="161" spans="6:6">
      <c r="F161" t="s">
        <v>468</v>
      </c>
    </row>
    <row r="162" spans="6:6">
      <c r="F162" t="s">
        <v>469</v>
      </c>
    </row>
    <row r="163" spans="6:6">
      <c r="F163" t="s">
        <v>470</v>
      </c>
    </row>
    <row r="164" spans="6:6">
      <c r="F164" t="s">
        <v>471</v>
      </c>
    </row>
    <row r="165" spans="6:6">
      <c r="F165" t="s">
        <v>472</v>
      </c>
    </row>
    <row r="166" spans="6:6">
      <c r="F166" t="s">
        <v>473</v>
      </c>
    </row>
    <row r="167" spans="6:6">
      <c r="F167" t="s">
        <v>474</v>
      </c>
    </row>
    <row r="168" spans="6:6">
      <c r="F168" t="s">
        <v>475</v>
      </c>
    </row>
    <row r="169" spans="6:6">
      <c r="F169" t="s">
        <v>476</v>
      </c>
    </row>
    <row r="170" spans="6:6">
      <c r="F170" t="s">
        <v>477</v>
      </c>
    </row>
    <row r="171" spans="6:6">
      <c r="F171" t="s">
        <v>478</v>
      </c>
    </row>
    <row r="172" spans="6:6">
      <c r="F172" t="s">
        <v>479</v>
      </c>
    </row>
    <row r="173" spans="6:6">
      <c r="F173" t="s">
        <v>480</v>
      </c>
    </row>
    <row r="174" spans="6:6">
      <c r="F174" t="s">
        <v>314</v>
      </c>
    </row>
    <row r="175" spans="6:6">
      <c r="F175" t="s">
        <v>481</v>
      </c>
    </row>
    <row r="176" spans="6:6">
      <c r="F176" t="s">
        <v>281</v>
      </c>
    </row>
    <row r="177" spans="6:6">
      <c r="F177" t="s">
        <v>482</v>
      </c>
    </row>
    <row r="178" spans="6:6">
      <c r="F178" t="s">
        <v>483</v>
      </c>
    </row>
    <row r="179" spans="6:6">
      <c r="F179" t="s">
        <v>484</v>
      </c>
    </row>
    <row r="180" spans="6:6">
      <c r="F180" t="s">
        <v>320</v>
      </c>
    </row>
    <row r="181" spans="6:6">
      <c r="F181" t="s">
        <v>485</v>
      </c>
    </row>
    <row r="182" spans="6:6">
      <c r="F182" t="s">
        <v>486</v>
      </c>
    </row>
    <row r="183" spans="6:6">
      <c r="F183" t="s">
        <v>487</v>
      </c>
    </row>
    <row r="184" spans="6:6">
      <c r="F184" t="s">
        <v>316</v>
      </c>
    </row>
    <row r="185" spans="6:6">
      <c r="F185" t="s">
        <v>488</v>
      </c>
    </row>
    <row r="186" spans="6:6">
      <c r="F186" t="s">
        <v>489</v>
      </c>
    </row>
    <row r="187" spans="6:6">
      <c r="F187" t="s">
        <v>490</v>
      </c>
    </row>
    <row r="188" spans="6:6">
      <c r="F188" t="s">
        <v>491</v>
      </c>
    </row>
    <row r="189" spans="6:6">
      <c r="F189" t="s">
        <v>492</v>
      </c>
    </row>
    <row r="190" spans="6:6">
      <c r="F190" t="s">
        <v>493</v>
      </c>
    </row>
    <row r="191" spans="6:6">
      <c r="F191" t="s">
        <v>494</v>
      </c>
    </row>
    <row r="192" spans="6:6">
      <c r="F192" t="s">
        <v>495</v>
      </c>
    </row>
    <row r="193" spans="6:6">
      <c r="F193" t="s">
        <v>496</v>
      </c>
    </row>
    <row r="194" spans="6:6">
      <c r="F194" t="s">
        <v>497</v>
      </c>
    </row>
    <row r="195" spans="6:6">
      <c r="F195" t="s">
        <v>498</v>
      </c>
    </row>
    <row r="196" spans="6:6">
      <c r="F196" t="s">
        <v>499</v>
      </c>
    </row>
    <row r="197" spans="6:6">
      <c r="F197" t="s">
        <v>500</v>
      </c>
    </row>
    <row r="198" spans="6:6">
      <c r="F198" t="s">
        <v>501</v>
      </c>
    </row>
    <row r="199" spans="6:6">
      <c r="F199" t="s">
        <v>502</v>
      </c>
    </row>
    <row r="200" spans="6:6">
      <c r="F200" t="s">
        <v>503</v>
      </c>
    </row>
    <row r="201" spans="6:6">
      <c r="F201" t="s">
        <v>504</v>
      </c>
    </row>
    <row r="202" spans="6:6">
      <c r="F202" t="s">
        <v>505</v>
      </c>
    </row>
    <row r="203" spans="6:6">
      <c r="F203" t="s">
        <v>506</v>
      </c>
    </row>
    <row r="204" spans="6:6">
      <c r="F204" t="s">
        <v>507</v>
      </c>
    </row>
    <row r="205" spans="6:6">
      <c r="F205" t="s">
        <v>508</v>
      </c>
    </row>
    <row r="206" spans="6:6">
      <c r="F206" t="s">
        <v>509</v>
      </c>
    </row>
    <row r="207" spans="6:6">
      <c r="F207" t="s">
        <v>510</v>
      </c>
    </row>
    <row r="208" spans="6:6">
      <c r="F208" t="s">
        <v>511</v>
      </c>
    </row>
    <row r="209" spans="6:6">
      <c r="F209" t="s">
        <v>512</v>
      </c>
    </row>
    <row r="210" spans="6:6">
      <c r="F210" t="s">
        <v>513</v>
      </c>
    </row>
    <row r="211" spans="6:6">
      <c r="F211" t="s">
        <v>514</v>
      </c>
    </row>
    <row r="212" spans="6:6">
      <c r="F212" t="s">
        <v>515</v>
      </c>
    </row>
    <row r="213" spans="6:6">
      <c r="F213" t="s">
        <v>516</v>
      </c>
    </row>
    <row r="214" spans="6:6">
      <c r="F214" t="s">
        <v>517</v>
      </c>
    </row>
    <row r="215" spans="6:6">
      <c r="F215" t="s">
        <v>518</v>
      </c>
    </row>
    <row r="216" spans="6:6">
      <c r="F216" t="s">
        <v>519</v>
      </c>
    </row>
    <row r="217" spans="6:6">
      <c r="F217" t="s">
        <v>520</v>
      </c>
    </row>
    <row r="218" spans="6:6">
      <c r="F218" t="s">
        <v>521</v>
      </c>
    </row>
    <row r="219" spans="6:6">
      <c r="F219" t="s">
        <v>522</v>
      </c>
    </row>
    <row r="220" spans="6:6">
      <c r="F220" t="s">
        <v>523</v>
      </c>
    </row>
    <row r="221" spans="6:6">
      <c r="F221" t="s">
        <v>524</v>
      </c>
    </row>
    <row r="222" spans="6:6">
      <c r="F222" t="s">
        <v>525</v>
      </c>
    </row>
    <row r="223" spans="6:6">
      <c r="F223" t="s">
        <v>526</v>
      </c>
    </row>
    <row r="224" spans="6:6">
      <c r="F224" t="s">
        <v>527</v>
      </c>
    </row>
    <row r="225" spans="6:6">
      <c r="F225" t="s">
        <v>528</v>
      </c>
    </row>
    <row r="226" spans="6:6">
      <c r="F226" t="s">
        <v>529</v>
      </c>
    </row>
    <row r="227" spans="6:6">
      <c r="F227" t="s">
        <v>530</v>
      </c>
    </row>
    <row r="228" spans="6:6">
      <c r="F228" t="s">
        <v>531</v>
      </c>
    </row>
    <row r="229" spans="6:6">
      <c r="F229" t="s">
        <v>532</v>
      </c>
    </row>
    <row r="230" spans="6:6">
      <c r="F230" t="s">
        <v>533</v>
      </c>
    </row>
    <row r="231" spans="6:6">
      <c r="F231" t="s">
        <v>534</v>
      </c>
    </row>
    <row r="232" spans="6:6">
      <c r="F232" t="s">
        <v>535</v>
      </c>
    </row>
    <row r="233" spans="6:6">
      <c r="F233" t="s">
        <v>536</v>
      </c>
    </row>
    <row r="234" spans="6:6">
      <c r="F234" t="s">
        <v>537</v>
      </c>
    </row>
    <row r="235" spans="6:6">
      <c r="F235" t="s">
        <v>324</v>
      </c>
    </row>
    <row r="236" spans="6:6">
      <c r="F236" t="s">
        <v>538</v>
      </c>
    </row>
    <row r="237" spans="6:6">
      <c r="F237" t="s">
        <v>539</v>
      </c>
    </row>
    <row r="238" spans="6:6">
      <c r="F238" t="s">
        <v>540</v>
      </c>
    </row>
    <row r="239" spans="6:6">
      <c r="F239" t="s">
        <v>541</v>
      </c>
    </row>
    <row r="240" spans="6:6">
      <c r="F240" t="s">
        <v>542</v>
      </c>
    </row>
    <row r="241" spans="6:6">
      <c r="F241" t="s">
        <v>543</v>
      </c>
    </row>
    <row r="242" spans="6:6">
      <c r="F242" t="s">
        <v>544</v>
      </c>
    </row>
    <row r="243" spans="6:6">
      <c r="F243" t="s">
        <v>545</v>
      </c>
    </row>
    <row r="244" spans="6:6">
      <c r="F244" t="s">
        <v>546</v>
      </c>
    </row>
    <row r="245" spans="6:6">
      <c r="F245" t="s">
        <v>547</v>
      </c>
    </row>
    <row r="246" spans="6:6">
      <c r="F246" t="s">
        <v>548</v>
      </c>
    </row>
    <row r="247" spans="6:6">
      <c r="F247" t="s">
        <v>549</v>
      </c>
    </row>
    <row r="248" spans="6:6">
      <c r="F248" t="s">
        <v>550</v>
      </c>
    </row>
    <row r="249" spans="6:6">
      <c r="F249" t="s">
        <v>551</v>
      </c>
    </row>
    <row r="250" spans="6:6">
      <c r="F250" t="s">
        <v>552</v>
      </c>
    </row>
    <row r="251" spans="6:6">
      <c r="F251" t="s">
        <v>553</v>
      </c>
    </row>
    <row r="252" spans="6:6">
      <c r="F252" t="s">
        <v>554</v>
      </c>
    </row>
    <row r="253" spans="6:6">
      <c r="F253" t="s">
        <v>555</v>
      </c>
    </row>
    <row r="254" spans="6:6">
      <c r="F254" t="s">
        <v>556</v>
      </c>
    </row>
    <row r="255" spans="6:6">
      <c r="F255" t="s">
        <v>557</v>
      </c>
    </row>
    <row r="256" spans="6:6">
      <c r="F256" t="s">
        <v>558</v>
      </c>
    </row>
    <row r="257" spans="6:6">
      <c r="F257" t="s">
        <v>559</v>
      </c>
    </row>
    <row r="258" spans="6:6">
      <c r="F258" t="s">
        <v>560</v>
      </c>
    </row>
    <row r="259" spans="6:6">
      <c r="F259" t="s">
        <v>561</v>
      </c>
    </row>
    <row r="260" spans="6:6">
      <c r="F260" t="s">
        <v>562</v>
      </c>
    </row>
    <row r="261" spans="6:6">
      <c r="F261" t="s">
        <v>563</v>
      </c>
    </row>
    <row r="262" spans="6:6">
      <c r="F262" t="s">
        <v>564</v>
      </c>
    </row>
    <row r="263" spans="6:6">
      <c r="F263" t="s">
        <v>565</v>
      </c>
    </row>
    <row r="264" spans="6:6">
      <c r="F264" t="s">
        <v>566</v>
      </c>
    </row>
    <row r="265" spans="6:6">
      <c r="F265" t="s">
        <v>567</v>
      </c>
    </row>
    <row r="266" spans="6:6">
      <c r="F266" t="s">
        <v>568</v>
      </c>
    </row>
    <row r="267" spans="6:6">
      <c r="F267" t="s">
        <v>569</v>
      </c>
    </row>
    <row r="268" spans="6:6">
      <c r="F268" t="s">
        <v>570</v>
      </c>
    </row>
    <row r="269" spans="6:6">
      <c r="F269" t="s">
        <v>571</v>
      </c>
    </row>
    <row r="270" spans="6:6">
      <c r="F270" t="s">
        <v>572</v>
      </c>
    </row>
    <row r="271" spans="6:6">
      <c r="F271" t="s">
        <v>573</v>
      </c>
    </row>
    <row r="272" spans="6:6">
      <c r="F272" t="s">
        <v>574</v>
      </c>
    </row>
    <row r="273" spans="6:6">
      <c r="F273" t="s">
        <v>575</v>
      </c>
    </row>
    <row r="274" spans="6:6">
      <c r="F274" t="s">
        <v>576</v>
      </c>
    </row>
    <row r="275" spans="6:6">
      <c r="F275" t="s">
        <v>577</v>
      </c>
    </row>
    <row r="276" spans="6:6">
      <c r="F276" t="s">
        <v>578</v>
      </c>
    </row>
    <row r="277" spans="6:6">
      <c r="F277" t="s">
        <v>579</v>
      </c>
    </row>
    <row r="278" spans="6:6">
      <c r="F278" t="s">
        <v>580</v>
      </c>
    </row>
    <row r="279" spans="6:6">
      <c r="F279" t="s">
        <v>581</v>
      </c>
    </row>
    <row r="280" spans="6:6">
      <c r="F280" t="s">
        <v>582</v>
      </c>
    </row>
    <row r="281" spans="6:6">
      <c r="F281" t="s">
        <v>583</v>
      </c>
    </row>
    <row r="282" spans="6:6">
      <c r="F282" t="s">
        <v>584</v>
      </c>
    </row>
    <row r="283" spans="6:6">
      <c r="F283" t="s">
        <v>585</v>
      </c>
    </row>
    <row r="284" spans="6:6">
      <c r="F284" t="s">
        <v>586</v>
      </c>
    </row>
    <row r="285" spans="6:6">
      <c r="F285" t="s">
        <v>587</v>
      </c>
    </row>
    <row r="286" spans="6:6">
      <c r="F286" t="s">
        <v>295</v>
      </c>
    </row>
    <row r="287" spans="6:6">
      <c r="F287" t="s">
        <v>588</v>
      </c>
    </row>
    <row r="288" spans="6:6">
      <c r="F288" t="s">
        <v>589</v>
      </c>
    </row>
    <row r="289" spans="6:6">
      <c r="F289" t="s">
        <v>590</v>
      </c>
    </row>
    <row r="290" spans="6:6">
      <c r="F290" t="s">
        <v>591</v>
      </c>
    </row>
    <row r="291" spans="6:6">
      <c r="F291" t="s">
        <v>592</v>
      </c>
    </row>
    <row r="292" spans="6:6">
      <c r="F292" t="s">
        <v>369</v>
      </c>
    </row>
    <row r="293" spans="6:6">
      <c r="F293" t="s">
        <v>593</v>
      </c>
    </row>
    <row r="294" spans="6:6">
      <c r="F294" t="s">
        <v>594</v>
      </c>
    </row>
    <row r="295" spans="6:6">
      <c r="F295" t="s">
        <v>595</v>
      </c>
    </row>
    <row r="296" spans="6:6">
      <c r="F296" t="s">
        <v>337</v>
      </c>
    </row>
    <row r="297" spans="6:6">
      <c r="F297" t="s">
        <v>596</v>
      </c>
    </row>
    <row r="298" spans="6:6">
      <c r="F298" t="s">
        <v>597</v>
      </c>
    </row>
    <row r="299" spans="6:6">
      <c r="F299" t="s">
        <v>333</v>
      </c>
    </row>
    <row r="300" spans="6:6">
      <c r="F300" t="s">
        <v>598</v>
      </c>
    </row>
    <row r="301" spans="6:6">
      <c r="F301" t="s">
        <v>599</v>
      </c>
    </row>
    <row r="302" spans="6:6">
      <c r="F302" t="s">
        <v>600</v>
      </c>
    </row>
    <row r="303" spans="6:6">
      <c r="F303" t="s">
        <v>601</v>
      </c>
    </row>
    <row r="304" spans="6:6">
      <c r="F304" t="s">
        <v>602</v>
      </c>
    </row>
    <row r="305" spans="6:6">
      <c r="F305" t="s">
        <v>603</v>
      </c>
    </row>
    <row r="306" spans="6:6">
      <c r="F306" t="s">
        <v>604</v>
      </c>
    </row>
    <row r="307" spans="6:6">
      <c r="F307" t="s">
        <v>605</v>
      </c>
    </row>
    <row r="308" spans="6:6">
      <c r="F308" t="s">
        <v>339</v>
      </c>
    </row>
    <row r="309" spans="6:6">
      <c r="F309" t="s">
        <v>606</v>
      </c>
    </row>
    <row r="310" spans="6:6">
      <c r="F310" t="s">
        <v>607</v>
      </c>
    </row>
    <row r="311" spans="6:6">
      <c r="F311" t="s">
        <v>608</v>
      </c>
    </row>
    <row r="312" spans="6:6">
      <c r="F312" t="s">
        <v>609</v>
      </c>
    </row>
    <row r="313" spans="6:6">
      <c r="F313" t="s">
        <v>610</v>
      </c>
    </row>
    <row r="314" spans="6:6">
      <c r="F314" t="s">
        <v>611</v>
      </c>
    </row>
    <row r="315" spans="6:6">
      <c r="F315" t="s">
        <v>612</v>
      </c>
    </row>
    <row r="316" spans="6:6">
      <c r="F316" t="s">
        <v>613</v>
      </c>
    </row>
    <row r="317" spans="6:6">
      <c r="F317" t="s">
        <v>614</v>
      </c>
    </row>
    <row r="318" spans="6:6">
      <c r="F318" t="s">
        <v>615</v>
      </c>
    </row>
    <row r="319" spans="6:6">
      <c r="F319" t="s">
        <v>616</v>
      </c>
    </row>
    <row r="320" spans="6:6">
      <c r="F320" t="s">
        <v>617</v>
      </c>
    </row>
    <row r="321" spans="6:6">
      <c r="F321" t="s">
        <v>618</v>
      </c>
    </row>
    <row r="322" spans="6:6">
      <c r="F322" t="s">
        <v>619</v>
      </c>
    </row>
    <row r="323" spans="6:6">
      <c r="F323" t="s">
        <v>620</v>
      </c>
    </row>
    <row r="324" spans="6:6">
      <c r="F324" t="s">
        <v>621</v>
      </c>
    </row>
    <row r="325" spans="6:6">
      <c r="F325" t="s">
        <v>622</v>
      </c>
    </row>
    <row r="326" spans="6:6">
      <c r="F326" t="s">
        <v>623</v>
      </c>
    </row>
    <row r="327" spans="6:6">
      <c r="F327" t="s">
        <v>624</v>
      </c>
    </row>
    <row r="328" spans="6:6">
      <c r="F328" t="s">
        <v>625</v>
      </c>
    </row>
    <row r="329" spans="6:6">
      <c r="F329" t="s">
        <v>626</v>
      </c>
    </row>
    <row r="330" spans="6:6">
      <c r="F330" t="s">
        <v>627</v>
      </c>
    </row>
    <row r="331" spans="6:6">
      <c r="F331" t="s">
        <v>628</v>
      </c>
    </row>
    <row r="332" spans="6:6">
      <c r="F332" t="s">
        <v>629</v>
      </c>
    </row>
    <row r="333" spans="6:6">
      <c r="F333" t="s">
        <v>630</v>
      </c>
    </row>
    <row r="334" spans="6:6">
      <c r="F334" t="s">
        <v>631</v>
      </c>
    </row>
    <row r="335" spans="6:6">
      <c r="F335" t="s">
        <v>632</v>
      </c>
    </row>
    <row r="336" spans="6:6">
      <c r="F336" t="s">
        <v>633</v>
      </c>
    </row>
    <row r="337" spans="6:6">
      <c r="F337" t="s">
        <v>634</v>
      </c>
    </row>
    <row r="338" spans="6:6">
      <c r="F338" t="s">
        <v>635</v>
      </c>
    </row>
    <row r="339" spans="6:6">
      <c r="F339" t="s">
        <v>636</v>
      </c>
    </row>
    <row r="340" spans="6:6">
      <c r="F340" t="s">
        <v>637</v>
      </c>
    </row>
    <row r="341" spans="6:6">
      <c r="F341" t="s">
        <v>638</v>
      </c>
    </row>
    <row r="342" spans="6:6">
      <c r="F342" t="s">
        <v>639</v>
      </c>
    </row>
    <row r="343" spans="6:6">
      <c r="F343" t="s">
        <v>640</v>
      </c>
    </row>
    <row r="344" spans="6:6">
      <c r="F344" t="s">
        <v>641</v>
      </c>
    </row>
    <row r="345" spans="6:6">
      <c r="F345" t="s">
        <v>642</v>
      </c>
    </row>
    <row r="346" spans="6:6">
      <c r="F346" t="s">
        <v>643</v>
      </c>
    </row>
    <row r="347" spans="6:6">
      <c r="F347" t="s">
        <v>644</v>
      </c>
    </row>
    <row r="348" spans="6:6">
      <c r="F348" t="s">
        <v>645</v>
      </c>
    </row>
    <row r="349" spans="6:6">
      <c r="F349" t="s">
        <v>646</v>
      </c>
    </row>
    <row r="350" spans="6:6">
      <c r="F350" t="s">
        <v>647</v>
      </c>
    </row>
  </sheetData>
  <sheetProtection algorithmName="SHA-512" hashValue="ylkgcObc9L5h8SesS6kyV7i/nmVl8NxImEiZQV9YB+MExdy3Hm9hhioqTeMtlsysE/Kn2aPZnYNZXyAXjqqqlQ==" saltValue="k8wmcqh7YHGUrI/NKC5FXQ==" spinCount="100000" sheet="1" autoFilter="0"/>
  <autoFilter ref="A4:W350" xr:uid="{EA4CBCD8-1B26-4415-86F5-27B50A71E4F4}"/>
  <sortState xmlns:xlrd2="http://schemas.microsoft.com/office/spreadsheetml/2017/richdata2" ref="K5:K47">
    <sortCondition ref="K5:K47"/>
  </sortState>
  <mergeCells count="1">
    <mergeCell ref="B2:H2"/>
  </mergeCells>
  <pageMargins left="0.7" right="0.7" top="0.75" bottom="0.75" header="0.3" footer="0.3"/>
  <pageSetup orientation="portrait" horizontalDpi="1200" verticalDpi="1200"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6B4C0-C255-4A53-A1E8-71707EF13346}">
  <dimension ref="A1"/>
  <sheetViews>
    <sheetView workbookViewId="0">
      <selection activeCell="D5" sqref="D5"/>
    </sheetView>
  </sheetViews>
  <sheetFormatPr baseColWidth="10" defaultRowHeight="14.4"/>
  <sheetData>
    <row r="1" spans="1:1">
      <c r="A1" s="2" t="s">
        <v>1046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13a0deb-62f8-4dcd-ba13-3ee085f1f74a">
      <Terms xmlns="http://schemas.microsoft.com/office/infopath/2007/PartnerControls"/>
    </lcf76f155ced4ddcb4097134ff3c332f>
    <TaxCatchAll xmlns="f31a1ffc-61c2-4490-9828-e101a1f64a7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A766DD3A6B40AF4CBAEC3DDE439CE466" ma:contentTypeVersion="19" ma:contentTypeDescription="Crear nuevo documento." ma:contentTypeScope="" ma:versionID="f94ba88af90c0cb39a05d862fa8ae8da">
  <xsd:schema xmlns:xsd="http://www.w3.org/2001/XMLSchema" xmlns:xs="http://www.w3.org/2001/XMLSchema" xmlns:p="http://schemas.microsoft.com/office/2006/metadata/properties" xmlns:ns2="013a0deb-62f8-4dcd-ba13-3ee085f1f74a" xmlns:ns3="f31a1ffc-61c2-4490-9828-e101a1f64a72" targetNamespace="http://schemas.microsoft.com/office/2006/metadata/properties" ma:root="true" ma:fieldsID="9e1bb768dc30792cdf3213fd0e3b6e7f" ns2:_="" ns3:_="">
    <xsd:import namespace="013a0deb-62f8-4dcd-ba13-3ee085f1f74a"/>
    <xsd:import namespace="f31a1ffc-61c2-4490-9828-e101a1f64a7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3:TaxCatchAll" minOccurs="0"/>
                <xsd:element ref="ns2:lcf76f155ced4ddcb4097134ff3c332f"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13a0deb-62f8-4dcd-ba13-3ee085f1f7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Etiquetas de imagen" ma:readOnly="false" ma:fieldId="{5cf76f15-5ced-4ddc-b409-7134ff3c332f}" ma:taxonomyMulti="true" ma:sspId="9e68cca2-f146-4ee0-ac48-0141f14101c2" ma:termSetId="09814cd3-568e-fe90-9814-8d621ff8fb84" ma:anchorId="fba54fb3-c3e1-fe81-a776-ca4b69148c4d" ma:open="true" ma:isKeyword="false">
      <xsd:complexType>
        <xsd:sequence>
          <xsd:element ref="pc:Terms" minOccurs="0" maxOccurs="1"/>
        </xsd:sequence>
      </xsd:complexType>
    </xsd:element>
    <xsd:element name="MediaLengthInSeconds" ma:index="22" nillable="true" ma:displayName="MediaLengthInSeconds" ma:hidden="true" ma:internalName="MediaLengthInSeconds" ma:readOnly="true">
      <xsd:simpleType>
        <xsd:restriction base="dms:Unknown"/>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31a1ffc-61c2-4490-9828-e101a1f64a72" elementFormDefault="qualified">
    <xsd:import namespace="http://schemas.microsoft.com/office/2006/documentManagement/types"/>
    <xsd:import namespace="http://schemas.microsoft.com/office/infopath/2007/PartnerControls"/>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element name="TaxCatchAll" ma:index="19" nillable="true" ma:displayName="Taxonomy Catch All Column" ma:hidden="true" ma:list="{c040a175-53c1-42ca-8979-806b265186a6}" ma:internalName="TaxCatchAll" ma:showField="CatchAllData" ma:web="f31a1ffc-61c2-4490-9828-e101a1f64a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A228ADC-5CF4-4595-B69A-3F5B7DD3310F}">
  <ds:schemaRefs>
    <ds:schemaRef ds:uri="http://schemas.microsoft.com/office/2006/documentManagement/types"/>
    <ds:schemaRef ds:uri="http://www.w3.org/XML/1998/namespace"/>
    <ds:schemaRef ds:uri="http://schemas.openxmlformats.org/package/2006/metadata/core-properties"/>
    <ds:schemaRef ds:uri="http://schemas.microsoft.com/office/2006/metadata/properties"/>
    <ds:schemaRef ds:uri="http://schemas.microsoft.com/office/infopath/2007/PartnerControls"/>
    <ds:schemaRef ds:uri="http://purl.org/dc/terms/"/>
    <ds:schemaRef ds:uri="http://purl.org/dc/dcmitype/"/>
    <ds:schemaRef ds:uri="f31a1ffc-61c2-4490-9828-e101a1f64a72"/>
    <ds:schemaRef ds:uri="013a0deb-62f8-4dcd-ba13-3ee085f1f74a"/>
    <ds:schemaRef ds:uri="http://purl.org/dc/elements/1.1/"/>
  </ds:schemaRefs>
</ds:datastoreItem>
</file>

<file path=customXml/itemProps2.xml><?xml version="1.0" encoding="utf-8"?>
<ds:datastoreItem xmlns:ds="http://schemas.openxmlformats.org/officeDocument/2006/customXml" ds:itemID="{47AAA7D0-4323-409F-9CE4-7B524C991FD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13a0deb-62f8-4dcd-ba13-3ee085f1f74a"/>
    <ds:schemaRef ds:uri="f31a1ffc-61c2-4490-9828-e101a1f64a7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33C4DDE-5090-448E-8446-506A5E6A8F8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Leeme</vt:lpstr>
      <vt:lpstr>Diccionario</vt:lpstr>
      <vt:lpstr>Campaña</vt:lpstr>
      <vt:lpstr>EstacionReplica</vt:lpstr>
      <vt:lpstr>Ocurrencia</vt:lpstr>
      <vt:lpstr>ValidacionDatos</vt:lpstr>
      <vt:lpstr>ID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Victoria Alejandra Arevalo Rocha</dc:creator>
  <cp:keywords/>
  <dc:description/>
  <cp:lastModifiedBy>Catalina ecorestaura</cp:lastModifiedBy>
  <cp:revision/>
  <dcterms:created xsi:type="dcterms:W3CDTF">2018-12-03T21:17:07Z</dcterms:created>
  <dcterms:modified xsi:type="dcterms:W3CDTF">2026-07-14T13:45:30Z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0x010100A766DD3A6B40AF4CBAEC3DDE439CE466</vt:lpwstr>
  </property>
  <property fmtid="{D5CDD505-2E9C-101B-9397-08002B2CF9AE}" pid="3" name="MediaServiceImageTags">
    <vt:lpwstr/>
  </property>
</Properties>
</file>